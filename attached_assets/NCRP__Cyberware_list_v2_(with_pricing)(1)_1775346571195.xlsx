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Cyberwear List Balanced" sheetId="1" r:id="rId5"/>
    <sheet state="visible" name="Consolodated Medical Price list" sheetId="2" r:id="rId6"/>
    <sheet state="visible" name="Character CWP Tracking" sheetId="3" r:id="rId7"/>
    <sheet state="visible" name="NPC CWP Tracking" sheetId="4" r:id="rId8"/>
    <sheet state="visible" name="Corpse Build" sheetId="5" r:id="rId9"/>
    <sheet state="visible" name="Example Archetype builds" sheetId="6" r:id="rId10"/>
    <sheet state="visible" name="Exotic Performer" sheetId="7" r:id="rId11"/>
    <sheet state="visible" name="Mafia Enforcer" sheetId="8" r:id="rId12"/>
    <sheet state="visible" name="Black Clinic Doc" sheetId="9" r:id="rId13"/>
    <sheet state="visible" name="PetOwned" sheetId="10" r:id="rId14"/>
    <sheet state="visible" name="Corpo" sheetId="11" r:id="rId15"/>
    <sheet state="visible" name="Nomad" sheetId="12" r:id="rId16"/>
    <sheet state="visible" name="Netrunner" sheetId="13" r:id="rId17"/>
    <sheet state="visible" name="Assassin" sheetId="14" r:id="rId18"/>
    <sheet state="visible" name="RipperDoc" sheetId="15" r:id="rId19"/>
    <sheet state="visible" name="CyberPsycho" sheetId="16" r:id="rId20"/>
  </sheets>
  <definedNames/>
  <calcPr/>
</workbook>
</file>

<file path=xl/sharedStrings.xml><?xml version="1.0" encoding="utf-8"?>
<sst xmlns="http://schemas.openxmlformats.org/spreadsheetml/2006/main" count="6310" uniqueCount="1102">
  <si>
    <t>Cyberware Name</t>
  </si>
  <si>
    <t>CWP</t>
  </si>
  <si>
    <t>Slot</t>
  </si>
  <si>
    <t>Description</t>
  </si>
  <si>
    <t>Side Effect</t>
  </si>
  <si>
    <t>Pricing</t>
  </si>
  <si>
    <t>Original Pricing</t>
  </si>
  <si>
    <t>Phantom Limbs</t>
  </si>
  <si>
    <t>Arms &amp; Arm Attachments</t>
  </si>
  <si>
    <t>Extra set of controllable robotic arms (basic tasks).</t>
  </si>
  <si>
    <t>Arms have jerky movement; often get in the way.</t>
  </si>
  <si>
    <t>Implant Cost</t>
  </si>
  <si>
    <t>Cyberarm (Dexterous)</t>
  </si>
  <si>
    <t>Precision tool use. RP lockpicking, surgery, mechanical hacking.</t>
  </si>
  <si>
    <t>Weak to EMPs. Shakes when under pressure. Doesn't enhance Stamina</t>
  </si>
  <si>
    <t>GorillaArms</t>
  </si>
  <si>
    <t>Lift heavy shit. Overpower people. Physical domination. +50% strength</t>
  </si>
  <si>
    <t>Always looks bulky or a bit too heavy. No fine tactile sense. Doesn't enhance Stamina</t>
  </si>
  <si>
    <t>Monowire</t>
  </si>
  <si>
    <t xml:space="preserve">A hyper-thin, retractable filament—stronger than steel, sharper than a scalpel. </t>
  </si>
  <si>
    <t>Mantis Blades</t>
  </si>
  <si>
    <t>Mantis Blades. sharp. scary. neato-o.</t>
  </si>
  <si>
    <t>You have weird sharp arms</t>
  </si>
  <si>
    <t>Enhanced Ears</t>
  </si>
  <si>
    <t>Auditory System</t>
  </si>
  <si>
    <t>Higher chance to Hear whispers through walls, filter sound, pinpoint origin.</t>
  </si>
  <si>
    <t>Overwhelmed in noisy spaces. Startles easily.</t>
  </si>
  <si>
    <t>Noise Dampener</t>
  </si>
  <si>
    <t>Higher chance to filter out harmful sonic frequencies.</t>
  </si>
  <si>
    <t>Temporary deafness if overwhelmed.</t>
  </si>
  <si>
    <t>Cyberlungs</t>
  </si>
  <si>
    <t>Circulatory &amp; Immune Systems</t>
  </si>
  <si>
    <t>Breathe underwater, through smoke, gas, or vacuum.</t>
  </si>
  <si>
    <t>Breathing is off–slow and mechanical. You fog up rooms unnaturally.</t>
  </si>
  <si>
    <t>Oxygen Recycler</t>
  </si>
  <si>
    <t>Prolonged breath-holding. (2 minutes)</t>
  </si>
  <si>
    <t>Audible mechanical breathing sounds.</t>
  </si>
  <si>
    <t>Chemical Analyzer</t>
  </si>
  <si>
    <t>Higher chance to detect chemical traces in the air.</t>
  </si>
  <si>
    <t>Constant sneezing fits in polluted areas.</t>
  </si>
  <si>
    <t>Detoxifier</t>
  </si>
  <si>
    <t>Higher chance to filters toxins from blood effectively.</t>
  </si>
  <si>
    <t>Frequent thirst; constant hydration needed.</t>
  </si>
  <si>
    <t>Shock Palms</t>
  </si>
  <si>
    <t>Hands &amp; Feet</t>
  </si>
  <si>
    <t>Delivers mild electrical shock on contact.</t>
  </si>
  <si>
    <t>Hands randomly spark, especially when wet.</t>
  </si>
  <si>
    <t>CryoGrip</t>
  </si>
  <si>
    <t>Emit cold from hands, enough to freeze certain surfaces touched or cause frostbite if applied for too long.</t>
  </si>
  <si>
    <t>Hands visibly frosted; risk frostbite in sustained use.</t>
  </si>
  <si>
    <t>SilentStep Soles</t>
  </si>
  <si>
    <t>Shock-dampening foot mod. Complete silence when walking.</t>
  </si>
  <si>
    <t>You can’t run loud even if you want to. No warning stomps.</t>
  </si>
  <si>
    <t>Micro-Vibration Generator</t>
  </si>
  <si>
    <t>Enhanced bladed melee effectiveness via vibration. +50% Effectiveness</t>
  </si>
  <si>
    <t>Low buzzing noise during activation, unsettling to others.</t>
  </si>
  <si>
    <t>Cyberfingers</t>
  </si>
  <si>
    <t>Hidden tools in fingertips—USB, lockpick, small blade.</t>
  </si>
  <si>
    <t>Constant low-level clicking or twitching in fingers.</t>
  </si>
  <si>
    <t>Cybernetic Claws</t>
  </si>
  <si>
    <t>Claws or stylized tools. Intimidation, fashion, or utility.</t>
  </si>
  <si>
    <t>Metal click when tapping; never quite silent.</t>
  </si>
  <si>
    <t>Subdermal Grip</t>
  </si>
  <si>
    <t>Lets you hold objects tighter than human limits—great for weapons or grappling.</t>
  </si>
  <si>
    <t>Sometimes crushes fragile stuff by accident.</t>
  </si>
  <si>
    <t>Dermal Plating</t>
  </si>
  <si>
    <t>Integumentary System</t>
  </si>
  <si>
    <t>Resistant to blades, blunt trauma, Rifle Caliber (7.62 and below)</t>
  </si>
  <si>
    <t>Feels cold to the touch. Looks synthetic. Scanners flag you.</t>
  </si>
  <si>
    <t>Sub-dermal Plating</t>
  </si>
  <si>
    <t>Resistant to blades, blunt trauma, Pistol Caliber</t>
  </si>
  <si>
    <t>NanoStitch Skin</t>
  </si>
  <si>
    <t xml:space="preserve">Automatically seals minor wounds such as small knife wound. </t>
  </si>
  <si>
    <t>Skin occasionally ripples oddly, unsettling observers.</t>
  </si>
  <si>
    <t>Supra-Dermal Weave</t>
  </si>
  <si>
    <t>Reinforced skin, minor resistance to injuries.</t>
  </si>
  <si>
    <t>Skin feels unnaturally rigid and leathery.</t>
  </si>
  <si>
    <t>Optical Camo</t>
  </si>
  <si>
    <t xml:space="preserve">Semi-Invisible when activated (50%) </t>
  </si>
  <si>
    <t>You still shimmer and aren't anywhere near fully invisble.</t>
  </si>
  <si>
    <t>Chameleon Skin</t>
  </si>
  <si>
    <t>Passive invisibility from further than 5ft when still.</t>
  </si>
  <si>
    <t>Glitches when you're stressed or bleeding. Ripples under emotion.</t>
  </si>
  <si>
    <t>Pressure Sensor Skin</t>
  </si>
  <si>
    <t>Senses air pressure changes—better at weather prediction, higher chance for detecting hidden compartments.</t>
  </si>
  <si>
    <t>Skin visibly shudders with sudden pressure changes.</t>
  </si>
  <si>
    <t>Luminescent Skin</t>
  </si>
  <si>
    <t>Emit gentle illumination in darkness. You ARE the flashlight.</t>
  </si>
  <si>
    <t>Uncontrollable brightness changes with emotions.</t>
  </si>
  <si>
    <t>Thermal Control Skin</t>
  </si>
  <si>
    <t>Adjust body temperature at will.  80°F to 130°F (Cool to the touch to hot enough to feel unpleasant, burn with prolonged contact)</t>
  </si>
  <si>
    <t>Skin temperature fluctuations make physical contact uncomfortable.</t>
  </si>
  <si>
    <t>Subdermal Display</t>
  </si>
  <si>
    <t>Project images or text from your body—RP IDs, tattoos.</t>
  </si>
  <si>
    <t>Can be hijacked. May flash when you're emotional.</t>
  </si>
  <si>
    <t>UnderSkin Lightshow</t>
  </si>
  <si>
    <t>Create glowing patterns or tattoos beneath skin.</t>
  </si>
  <si>
    <t>Occasionally glitches, displays unintended imagery.</t>
  </si>
  <si>
    <t>Cyberleg (Runner)</t>
  </si>
  <si>
    <t>Legs &amp; Mobility</t>
  </si>
  <si>
    <t>Jump farther, run faster, land silently. Parkour beast.</t>
  </si>
  <si>
    <t>Loud stomp at full speed. Doesn't enhance Stamina</t>
  </si>
  <si>
    <t>Reinforced Tendons</t>
  </si>
  <si>
    <t>No fall damage from &lt; 20 feet, Reduced fall damage from &lt; 30 feet.</t>
  </si>
  <si>
    <t>Audible tendon snaps occasionally during intense activity.</t>
  </si>
  <si>
    <t>DollChip</t>
  </si>
  <si>
    <t>Miscellaneous</t>
  </si>
  <si>
    <t>Hardware-bonded collar with encrypted owner ID. Can be issued commands by chip owner. Does not remember anything in-session</t>
  </si>
  <si>
    <t>If the owner is removed or dies, you're stuck in 'orphaned asset' mode—confused, depressed, glitchy.</t>
  </si>
  <si>
    <t>Spasm Drone Port</t>
  </si>
  <si>
    <t>3 Charges - Releases a tiny scout drone or flying camera.</t>
  </si>
  <si>
    <t>Leaves a nasty port in your skin. Buzzes when charging.</t>
  </si>
  <si>
    <t>Enhanced Tastebuds</t>
  </si>
  <si>
    <t>Taste chemical compositions—higher chance to detect poisons, substances.</t>
  </si>
  <si>
    <t>Intense dislike of strongly flavored foods; easily overwhelmed.</t>
  </si>
  <si>
    <t>ICE Layer</t>
  </si>
  <si>
    <t>Detects incoming hacks instantly—early warning.</t>
  </si>
  <si>
    <t>Emits weird static.</t>
  </si>
  <si>
    <t>GhostTag</t>
  </si>
  <si>
    <t>Your face is automatically blurred in security cameras. Higher chance to be unidentifiable in camera footage.</t>
  </si>
  <si>
    <t>Your face is automatically blurred in security cameras. May make law enforcement suspicious.</t>
  </si>
  <si>
    <t>Biomonitor</t>
  </si>
  <si>
    <t>Tracks all vital signs. Can auto-alert partners when you're in danger.</t>
  </si>
  <si>
    <t>Can trigger false alarms. You get “pinged” constantly when anxious.</t>
  </si>
  <si>
    <t>Internal Storage</t>
  </si>
  <si>
    <t>Stash a weapon, chip, or vial inside your body.</t>
  </si>
  <si>
    <t>Have to dig into yourself to retrieve. Looks sketchy as hell.</t>
  </si>
  <si>
    <t>Modded Mandibles</t>
  </si>
  <si>
    <t>Jaw opens wider than normal—voice amp, bite attack, or freak people out.</t>
  </si>
  <si>
    <t>Can’t whistle anymore. You look a little disconcerting.</t>
  </si>
  <si>
    <t>SmartLink</t>
  </si>
  <si>
    <t>Allows the use of Smart Weapons, which benefit from targeting assistance, auto-aim correction, and firing arc predictions via your HUD. Without this cyberware, Smart Weapons function like normal guns.</t>
  </si>
  <si>
    <t>Mr. Studd™ / Midnight Lady™</t>
  </si>
  <si>
    <t>Boosted stamina, modular sensations, vibe modules.</t>
  </si>
  <si>
    <t>Malfunctions in awkward moments. Buzzes audibly if overused.</t>
  </si>
  <si>
    <t>Scent Scanner</t>
  </si>
  <si>
    <t>Track people or chemicals by smell. Smell blood, oil, etc.</t>
  </si>
  <si>
    <t>Overwhelmed in clubs, alleys, combat. Sometimes gags from sensory overload.</t>
  </si>
  <si>
    <t>Tail Mount</t>
  </si>
  <si>
    <t>Prehensile tail–style, weapon, or utility limb.</t>
  </si>
  <si>
    <t>Sitting is awkward. It moves when you're nervous.</t>
  </si>
  <si>
    <t>VoiceWeaver</t>
  </si>
  <si>
    <t>Real-time voice modulation—change pitch, mimic accents, disguise yourself.</t>
  </si>
  <si>
    <t>Gets stuck mid-shift. You glitch between voices during arguments.</t>
  </si>
  <si>
    <t>Netrunner Suite (Level 3)</t>
  </si>
  <si>
    <t>Neural</t>
  </si>
  <si>
    <t>Full cyberwarfare, backdoor exploitation.</t>
  </si>
  <si>
    <t>Your body stutters. You speak to invisible things. You are a priority target for Corps.</t>
  </si>
  <si>
    <t>Netrunner Suite (Level 2)</t>
  </si>
  <si>
    <t>Quickhacks, control systems.</t>
  </si>
  <si>
    <t>Twitchy eyes, nosebleeds. You flinch at screen flickers.</t>
  </si>
  <si>
    <t>Memory Bank</t>
  </si>
  <si>
    <t>Store perfect audio/visual recall.</t>
  </si>
  <si>
    <t>Experiences brief confusion episodes if overloaded.</t>
  </si>
  <si>
    <t>Impulse Splicer</t>
  </si>
  <si>
    <t>Cuts the delay between thought and action. You do what you think—no second-guessing.</t>
  </si>
  <si>
    <t>Zero filter. No safety net. You might leap into a fire if you think it's a good idea.</t>
  </si>
  <si>
    <t>Neurofilter</t>
  </si>
  <si>
    <t>Suppresses emotions. Perfect in combat, negotiations, torture.</t>
  </si>
  <si>
    <t>Cuts you off emotionally. Others feel you're 'not all there.'</t>
  </si>
  <si>
    <t>Netrunner Suite (Level 1)</t>
  </si>
  <si>
    <t>Basic Net access. Ability to quickhack. Comes with Interface Jack to connect to Terminals/Vechicles/etc.</t>
  </si>
  <si>
    <t>You're always a little distracted--like you're only 95% in the room.</t>
  </si>
  <si>
    <t>SmartEyes</t>
  </si>
  <si>
    <t>Ocular System</t>
  </si>
  <si>
    <t>Zoom, thermal, night vision, facial ID, AR HUD.</t>
  </si>
  <si>
    <t>Eyes glow. You sometimes blink asynchronously.</t>
  </si>
  <si>
    <t>Targeting Optic</t>
  </si>
  <si>
    <t>Motion tracking and target prediction</t>
  </si>
  <si>
    <t>Uncanny gaze. You stare too long and react to subtle movement like a predator.</t>
  </si>
  <si>
    <t>Retinal Projector</t>
  </si>
  <si>
    <t>Project images directly onto surfaces from eyes. (You can place stickers)</t>
  </si>
  <si>
    <t>Eyes glow brightly, drawing attention.</t>
  </si>
  <si>
    <t>FlashVisor</t>
  </si>
  <si>
    <t>Auto-adjusts to sudden flashes, light blasts, laser dazzlers. Lower chance of being blinded.</t>
  </si>
  <si>
    <t>Flickers visibly during brightness shifts—distracting to others.</t>
  </si>
  <si>
    <t>Combat Wired Reflexes</t>
  </si>
  <si>
    <t>Skeleton &amp; Torso Musculature</t>
  </si>
  <si>
    <t>Always-on reflex boost for high-performance combat. Its very hard to sneak up on you, you are fast and react almost instantly</t>
  </si>
  <si>
    <t>Always alert. Hard to relax or stay calm.</t>
  </si>
  <si>
    <t>NeoFiber</t>
  </si>
  <si>
    <t>Synthetic muscle fibers for increased strength. 30% strength gain, Can be applied to 2 out of three: Legs, Arms, Tails</t>
  </si>
  <si>
    <t>Occasional muscle stiffness and unnatural posture.</t>
  </si>
  <si>
    <t>Dense Marrow</t>
  </si>
  <si>
    <t>Increases body weight and striking power. 20% Heavier.</t>
  </si>
  <si>
    <t>Heavy footsteps and slightly reduced agility.</t>
  </si>
  <si>
    <t>Recoil Dampeners</t>
  </si>
  <si>
    <t>Universal Muscular (Arms/Legs/Tail)</t>
  </si>
  <si>
    <t>Absorbs recoil for stable firing. Absolute stability for small arms, less as the caliber increases.</t>
  </si>
  <si>
    <t>Joints audibly click after sustained use.</t>
  </si>
  <si>
    <t>Reactive Muscle Fibers</t>
  </si>
  <si>
    <t>Short bursts of heightened strength. (e.g, a Single punch at +50% power)</t>
  </si>
  <si>
    <t>Muscles spasm after use, visibly twitchy.</t>
  </si>
  <si>
    <t>Total CyberWare Points(CWP)</t>
  </si>
  <si>
    <t>3 or below</t>
  </si>
  <si>
    <t>Quarterly or less RipperDoc Maintenance</t>
  </si>
  <si>
    <t>3-6</t>
  </si>
  <si>
    <t>Monthly or Bi-Monthly RipperDoc Maintenance</t>
  </si>
  <si>
    <t>7-9</t>
  </si>
  <si>
    <t>RipperDoc Maintenance + ImmunoSuppressants + Medium Risk of CyberPsychosis. You swear someone said something. Did something just move in the corner of your eye?</t>
  </si>
  <si>
    <t>10-12</t>
  </si>
  <si>
    <t>RipperDoc Maintenance + ImmunoSuppressants + High Risk of CyberPsychosis. Someone DEFINITELY said something, But you shouldn't do what they said...Right?</t>
  </si>
  <si>
    <t>13-15</t>
  </si>
  <si>
    <t>RipperDoc Maintenance + ImmunoSuppressants + Extreme Risk of CyberPsychosis. The voice is right. That person is a rogue AI, Stab them. Wait... Did the floor and the celing just switch places?</t>
  </si>
  <si>
    <t>Cyberware Cost and Installation price set by ripperdocs.</t>
  </si>
  <si>
    <t>Cyberware can be installed at RipperDocs provided you have the spare CWP and ImplantCost</t>
  </si>
  <si>
    <t>Cyberpsychosis is AOD'd to you. If you have high CWP and went through some kind of stress, you may have an AOD tell you that you're feeling something specific related to Cyberpsychosis. The higher your CWP, the greater the impact of the CyberPsychosis and the greater the likelihood.</t>
  </si>
  <si>
    <t>Aesthetic Cyberware is 0 CWP cost.</t>
  </si>
  <si>
    <t>Custom Cyberware is permitted with approval. CWP cost will be assigned upon approval.</t>
  </si>
  <si>
    <t>One Cyberware per Slot, and one per arm and one per leg except Miscellaneous
 which is uncapped.</t>
  </si>
  <si>
    <t>Slots:</t>
  </si>
  <si>
    <t>Medical Procedure</t>
  </si>
  <si>
    <t>Price</t>
  </si>
  <si>
    <t>Effects</t>
  </si>
  <si>
    <t>Particularities</t>
  </si>
  <si>
    <t>Checkup</t>
  </si>
  <si>
    <t>None</t>
  </si>
  <si>
    <t xml:space="preserve">Cyberware Installation </t>
  </si>
  <si>
    <t>Cost of Cyberware +1000</t>
  </si>
  <si>
    <t>Minor disability during acclimation period, slight increase in Immunosupps during This time, regular checkups with Ripper</t>
  </si>
  <si>
    <t>Cost of cyberware is due to purchasing cyberware at Ripper, Higher cost than swap due to it being the first installation</t>
  </si>
  <si>
    <t>Cyberware Swap</t>
  </si>
  <si>
    <t>Occasional minor calibrations</t>
  </si>
  <si>
    <t>Low cost, due to connection points already present</t>
  </si>
  <si>
    <t>Minor Repairs</t>
  </si>
  <si>
    <t>Mild Irritation of effected area</t>
  </si>
  <si>
    <t>Major Repairs</t>
  </si>
  <si>
    <t>Major Irritation of effected area, Risk of reinjury in high stress activities</t>
  </si>
  <si>
    <t>critical Lifeasaving Measures</t>
  </si>
  <si>
    <t>2500+</t>
  </si>
  <si>
    <t>Major temporary disability, Incapable of Gig work, recovery #1 priority</t>
  </si>
  <si>
    <t>Organ Transplant</t>
  </si>
  <si>
    <t>1500-2000</t>
  </si>
  <si>
    <t>temporary disability, irritation to transplant location</t>
  </si>
  <si>
    <t>Minor to major aesthetic surgery</t>
  </si>
  <si>
    <t>2500-3000</t>
  </si>
  <si>
    <t xml:space="preserve">Minor irritation of altered area. </t>
  </si>
  <si>
    <t>Biosculpting</t>
  </si>
  <si>
    <t>starts at 50000</t>
  </si>
  <si>
    <t>See Particularities</t>
  </si>
  <si>
    <t>Human to Exotic: Starts At 60K, Exotic to human: Starts at 70k, Returning to human is Disabling until body has acclimated, due to effects of gene therapy</t>
  </si>
  <si>
    <t>Full Body Conversion</t>
  </si>
  <si>
    <t xml:space="preserve">starts at 30000 </t>
  </si>
  <si>
    <t>Period of acclimation time requiring mandatory Antipsychotics+Immunosupppreants and Psychotherapy &amp; higher cost of Immunosupps</t>
  </si>
  <si>
    <t>Combat Capable starts at 100k</t>
  </si>
  <si>
    <t>All pricings at the whim of your ripper, they can push it up or down
These are just base costs</t>
  </si>
  <si>
    <t>Medications Cost</t>
  </si>
  <si>
    <t>Examples</t>
  </si>
  <si>
    <t>Med Grade Drugs</t>
  </si>
  <si>
    <t>50-750</t>
  </si>
  <si>
    <t>Das dat good shit</t>
  </si>
  <si>
    <t>Bounceback</t>
  </si>
  <si>
    <t>Over the Counter</t>
  </si>
  <si>
    <t>50-100</t>
  </si>
  <si>
    <t>mediocre healing at best, but enough to help</t>
  </si>
  <si>
    <t>Tylenol</t>
  </si>
  <si>
    <t>Perscribed</t>
  </si>
  <si>
    <t>100-1000</t>
  </si>
  <si>
    <t>Moderately Effective aid, Generally perscribed by ripper, but more accessable than clinical grade</t>
  </si>
  <si>
    <t>Epinephrine, Immuno suppresants,Antipsychotics</t>
  </si>
  <si>
    <t>Clinical</t>
  </si>
  <si>
    <t>250-2000</t>
  </si>
  <si>
    <t>Extremely Effective aid, generally only accessable to rippers</t>
  </si>
  <si>
    <t>Morphine</t>
  </si>
  <si>
    <t>Character</t>
  </si>
  <si>
    <t>Player Name</t>
  </si>
  <si>
    <t>CWP Total</t>
  </si>
  <si>
    <t>Implant Name</t>
  </si>
  <si>
    <t>Brand</t>
  </si>
  <si>
    <t>Brand Tier</t>
  </si>
  <si>
    <t>Function</t>
  </si>
  <si>
    <t>Notes</t>
  </si>
  <si>
    <t>Adazae Oreste</t>
  </si>
  <si>
    <t>khepri2992</t>
  </si>
  <si>
    <t>Wolver Claws (Custom)</t>
  </si>
  <si>
    <t>Similar to mantis blades, except the blades are mounted in the wrists. Then dispersed through the knuckles. -Good for slashing targets, and staying discreet. Slashy, slashy-</t>
  </si>
  <si>
    <t>Epimorphic Skeleton (Custom)</t>
  </si>
  <si>
    <t>Regenerative super dense skeleton. Very Durable bones that can heal themselves, and handle extremely heavy impacts. -Nano-weaving skeleton that regenerates (over days), and is extremely robust.-</t>
  </si>
  <si>
    <t>Dragons breath Mk.2 custom</t>
  </si>
  <si>
    <t>Flaming breath attack, lights opponents on fire. Has a three second burst, and 10 second cool down.</t>
  </si>
  <si>
    <t>Chitin (Custom)</t>
  </si>
  <si>
    <t>Extremely durable subcutaneous shell made of genetically modified chitin. -Durable against rifle rounds. Resistant to bladed weaponry, and impacts.</t>
  </si>
  <si>
    <t>Julian Uchiumi</t>
  </si>
  <si>
    <t>mrclassicmagic</t>
  </si>
  <si>
    <t>Resistant to blades, blunt trauma, small arms.</t>
  </si>
  <si>
    <t>Ice Layer</t>
  </si>
  <si>
    <t>Tyson "Ty" Monroe (aka Meltdown)</t>
  </si>
  <si>
    <t>LukaSpice</t>
  </si>
  <si>
    <t>Kat (Formerly Rachel Moore)</t>
  </si>
  <si>
    <t>nocturnalight</t>
  </si>
  <si>
    <t>Always-on reflex boost for high-performance combat.</t>
  </si>
  <si>
    <t>SubDermal Plating</t>
  </si>
  <si>
    <t>Integumentary System Expansion</t>
  </si>
  <si>
    <t>Allows the use of an extra Integumentary System</t>
  </si>
  <si>
    <t>Lily</t>
  </si>
  <si>
    <t>Trashqueenlily</t>
  </si>
  <si>
    <t>Modular Socket Frame (Custom)</t>
  </si>
  <si>
    <t>A subdermal shoulder coupling system that allows for interchangeable cyberarm loadouts. (Allows switching between Poppet Arms and Regular Gorilla Arms)</t>
  </si>
  <si>
    <t>K-TYPE: RBK/7 "Poppet Arms" (Custom)</t>
  </si>
  <si>
    <t>Hyper-Aggressive Gorilla Arms, surges 40% more pressure to the forearms for 3 seconds, causing high-stress recoil through the user’s spine if unmodified. Warning: May dislocate shoulders without reinforcement.</t>
  </si>
  <si>
    <t>Love Suite (Custom)</t>
  </si>
  <si>
    <t>Both mr studd and midnight lady, interchangable to suit clients desire,</t>
  </si>
  <si>
    <t>Jane Doe</t>
  </si>
  <si>
    <t>ghosted_stoner.</t>
  </si>
  <si>
    <t>Eclipse</t>
  </si>
  <si>
    <t>FreeBooze</t>
  </si>
  <si>
    <t>Romero “Butcher” Centanni</t>
  </si>
  <si>
    <t>DajaegerBOMB71</t>
  </si>
  <si>
    <t>Hear whispers through walls, filter sound, pinpoint origin.</t>
  </si>
  <si>
    <t>The Reaper’s Arm (Custom)</t>
  </si>
  <si>
    <t>Monowire, power Knuckles, reinforced nerve mesh.</t>
  </si>
  <si>
    <t>The Gravehand (Custom)</t>
  </si>
  <si>
    <t>EMP, Crash reinforced bones/metal, Hidden compartment, Tactile feedback, illegal as fuck.</t>
  </si>
  <si>
    <t>M.C.</t>
  </si>
  <si>
    <t>MCRanger</t>
  </si>
  <si>
    <t>Integrated Holster (Custom)</t>
  </si>
  <si>
    <t>works by attaching a gun to a retractable holster that conceals said weapon inside the arm and when it is needed, it springs out into the user's hand.</t>
  </si>
  <si>
    <t>Jayce Talos</t>
  </si>
  <si>
    <t>.borp</t>
  </si>
  <si>
    <t>EXTREME Risk for Cyberpsychosis above this line</t>
  </si>
  <si>
    <t>Ayami Sakurai</t>
  </si>
  <si>
    <t>dartkobichenko</t>
  </si>
  <si>
    <t>A hyper-thin, retractable filament—stronger than steel, sharper than a scalpel. Often runs from wrist or fingertip. Can slice through flesh, bone, or light armor in a blur. Doubles as a garrote with the right finesse.</t>
  </si>
  <si>
    <t xml:space="preserve">Your face is automatically blurred in security cameras. </t>
  </si>
  <si>
    <t>Vanessa "Cinder" Monroe</t>
  </si>
  <si>
    <t>mysticmoony</t>
  </si>
  <si>
    <t>Sub-dermal Display Plating Drako Tech (Custom)</t>
  </si>
  <si>
    <t>Resistant to blades, blunt trauma, Pistol Caliber Project images or text from your body—RP IDs, tattoos. Drawback: Can be hijacked. May flash when you're emotional.</t>
  </si>
  <si>
    <t>Tracks all vital signs. Can auto-alert medtechs or partners when you're in danger.</t>
  </si>
  <si>
    <t>Mars Logan</t>
  </si>
  <si>
    <t>vrchie</t>
  </si>
  <si>
    <t>Gorilla Arms</t>
  </si>
  <si>
    <t>Lift heavy shit. Overpower people. Physical domination.</t>
  </si>
  <si>
    <t>Kyuu Watson</t>
  </si>
  <si>
    <t>arweendabean</t>
  </si>
  <si>
    <t>Biella Brecken (Retired)</t>
  </si>
  <si>
    <t>yeenageddon</t>
  </si>
  <si>
    <t>Jonah Pike</t>
  </si>
  <si>
    <t>binaryrogue</t>
  </si>
  <si>
    <t>Gorilla Arms (Shock Variant)</t>
  </si>
  <si>
    <t>Monroe Lockley</t>
  </si>
  <si>
    <t>thecandybar</t>
  </si>
  <si>
    <t>Frankie “Ar3gus” Miles</t>
  </si>
  <si>
    <t>isogod</t>
  </si>
  <si>
    <t>Vic Jammer</t>
  </si>
  <si>
    <t>Effectively its Ghost tag however Vic Jammers can cover your whole silhouette instead of the head</t>
  </si>
  <si>
    <t>Anastasia "Persona" Aran.</t>
  </si>
  <si>
    <t>abendroth1994</t>
  </si>
  <si>
    <t>Ryuko Matoi</t>
  </si>
  <si>
    <t>Precision tool use. RP lockpicking, surgery, hacking.</t>
  </si>
  <si>
    <t>Raven Zhenari (Dead)</t>
  </si>
  <si>
    <t>wendigo0300</t>
  </si>
  <si>
    <t>Zion Kade</t>
  </si>
  <si>
    <t>zehlolgamer</t>
  </si>
  <si>
    <t>Klumen</t>
  </si>
  <si>
    <t>klumenbranz</t>
  </si>
  <si>
    <t>Dermal &amp; Subdermal Plating (Mix)</t>
  </si>
  <si>
    <t>"SHORYU" Relic Chip (Custom)</t>
  </si>
  <si>
    <t>when you die: they take a subject's brain, replace the consciousness inside with your engram, and place it in an FBC body as a replica body for you to inhabit.</t>
  </si>
  <si>
    <t>Arasaka Subdermal Tracker (Custom)</t>
  </si>
  <si>
    <t>Tracker</t>
  </si>
  <si>
    <t xml:space="preserve">Leon 'Watcher' Draeven </t>
  </si>
  <si>
    <t>_Sliss</t>
  </si>
  <si>
    <t>Ethan Myers</t>
  </si>
  <si>
    <t>theultramight</t>
  </si>
  <si>
    <t>BioDyne Berserk</t>
  </si>
  <si>
    <t>it allows you to shrug off the effects of more serious wounds for a minute, but any mortal wounds that would kill you still affect you - or at the very least take you out of the fight</t>
  </si>
  <si>
    <t>Corpse</t>
  </si>
  <si>
    <t>Medusa_Cascade</t>
  </si>
  <si>
    <t>ChromeBone™ Elite</t>
  </si>
  <si>
    <t>Tier 2</t>
  </si>
  <si>
    <t>Long Canine like teeth</t>
  </si>
  <si>
    <t>Kiroshi Optics 7+</t>
  </si>
  <si>
    <t>Tier 1</t>
  </si>
  <si>
    <t>Dual State Autonomy (Custom)</t>
  </si>
  <si>
    <t>Apex Dynamics</t>
  </si>
  <si>
    <t>Experimental</t>
  </si>
  <si>
    <t>Allows Corpse to switch between Animal and Human, See character sheet for more detail. Repurposed Impulse Splicer aka KillSwitch</t>
  </si>
  <si>
    <t>Zetatech Standard Series</t>
  </si>
  <si>
    <t>Lilith 'Cadaver' Bellatrix</t>
  </si>
  <si>
    <t>washy_56</t>
  </si>
  <si>
    <t>Vampyres (Custom)</t>
  </si>
  <si>
    <t>Can extreact a small amount of blood for DNA sample or inject poison</t>
  </si>
  <si>
    <t>Moose</t>
  </si>
  <si>
    <t>Darius9077</t>
  </si>
  <si>
    <t>Eris</t>
  </si>
  <si>
    <t>PrimeCryptid</t>
  </si>
  <si>
    <t>Sierra</t>
  </si>
  <si>
    <t>.raelyna</t>
  </si>
  <si>
    <t>Celeste Mav'Rose</t>
  </si>
  <si>
    <t>bensubean</t>
  </si>
  <si>
    <t>Trapper</t>
  </si>
  <si>
    <t>Smok3bomb</t>
  </si>
  <si>
    <t>Murphy</t>
  </si>
  <si>
    <t>murphi3s_law</t>
  </si>
  <si>
    <t>Nuva</t>
  </si>
  <si>
    <t>_s1las_</t>
  </si>
  <si>
    <t>Alexis “Lazuli” Cromwell</t>
  </si>
  <si>
    <t>novageddon13</t>
  </si>
  <si>
    <t>(Left Arm) Subdermal Grip</t>
  </si>
  <si>
    <t>Lets you hold objects tighter than human limits—great for weapons or grappling. when grabbing someone's cyberware with this arm she can overload it with electricity</t>
  </si>
  <si>
    <t>(Right Arm) MicroVibration Generator</t>
  </si>
  <si>
    <t>uhhh something</t>
  </si>
  <si>
    <t>Vox Machina</t>
  </si>
  <si>
    <t>Zavara</t>
  </si>
  <si>
    <t>spiked_vrc</t>
  </si>
  <si>
    <t>CyberLungs</t>
  </si>
  <si>
    <t>Kissi</t>
  </si>
  <si>
    <t>ceruleanserpent13</t>
  </si>
  <si>
    <t>Thermal Insulation (Custom)</t>
  </si>
  <si>
    <t>Allows for survival in subzero temperatures, with the drawback that it is easy to overheat in hot environments</t>
  </si>
  <si>
    <t>Jun [Junko]</t>
  </si>
  <si>
    <t>sailor_bun</t>
  </si>
  <si>
    <t>Asha</t>
  </si>
  <si>
    <t>Kayn</t>
  </si>
  <si>
    <t>_kaynw</t>
  </si>
  <si>
    <t>Amida Osika (Hopper)</t>
  </si>
  <si>
    <t>wee_vixen</t>
  </si>
  <si>
    <t>Cupid</t>
  </si>
  <si>
    <t>celestereaper</t>
  </si>
  <si>
    <t>Carl “Stinger” Nemo (Dead)</t>
  </si>
  <si>
    <t>phoolery</t>
  </si>
  <si>
    <t>Auto-adjusts to sudden flashes, light blasts, laser dazzlers.</t>
  </si>
  <si>
    <t>CUSTOM - “Bear-Trap Jaw”</t>
  </si>
  <si>
    <t>Part of the custom head case, Stinger’s mouth isn’t much more than a maw full of sharpened metal blades. His voice is projected by an old repurposed audio system.</t>
  </si>
  <si>
    <t>Kentesu R. Yuno (Callsign "Specter 1-1")</t>
  </si>
  <si>
    <t>ghost_11b</t>
  </si>
  <si>
    <t xml:space="preserve">Manolo Costazuela, aka “Manny,” aka “El Toro de Sangre” </t>
  </si>
  <si>
    <t xml:space="preserve"> phoolery</t>
  </si>
  <si>
    <t>Amelia Hartgreaves</t>
  </si>
  <si>
    <t>minnbicchi</t>
  </si>
  <si>
    <t>Marcus Felix Alarin, M.D.</t>
  </si>
  <si>
    <t>valincastor</t>
  </si>
  <si>
    <t>Saburō Shigeru Ryuu</t>
  </si>
  <si>
    <t xml:space="preserve"> oxarck</t>
  </si>
  <si>
    <t>Zuki</t>
  </si>
  <si>
    <t>shyzuki</t>
  </si>
  <si>
    <t>RAID (Redundant Array of Independent Disks)</t>
  </si>
  <si>
    <t>scottyboiv</t>
  </si>
  <si>
    <t>Malcolm 'Diesel' Reyes</t>
  </si>
  <si>
    <t>sircullingham</t>
  </si>
  <si>
    <t>Laurance "Large Larry" Ying</t>
  </si>
  <si>
    <t>GoodGuyPie</t>
  </si>
  <si>
    <t>Bubbles</t>
  </si>
  <si>
    <t>Sailor_bun</t>
  </si>
  <si>
    <t>Korra Maddox</t>
  </si>
  <si>
    <t>Riven (Torque) Knox</t>
  </si>
  <si>
    <t>vr_rubyrose</t>
  </si>
  <si>
    <t>Subdermal Plating</t>
  </si>
  <si>
    <t>Vianca "Taghmata" Locard</t>
  </si>
  <si>
    <t>toasterbishop</t>
  </si>
  <si>
    <t>Lena Hernandez</t>
  </si>
  <si>
    <t>alysenpai2201</t>
  </si>
  <si>
    <t>Yuna AKA "Trunk Monkey"</t>
  </si>
  <si>
    <t>cosmicdemechi</t>
  </si>
  <si>
    <t>Ronan</t>
  </si>
  <si>
    <t>pink_monstarrr</t>
  </si>
  <si>
    <t>Vito</t>
  </si>
  <si>
    <t>Vitofox</t>
  </si>
  <si>
    <t>Tali</t>
  </si>
  <si>
    <t>aqualiteva</t>
  </si>
  <si>
    <t>Thumper</t>
  </si>
  <si>
    <t>James Russell</t>
  </si>
  <si>
    <t>snope.putorius</t>
  </si>
  <si>
    <t>Baross "Iron Jaw" Mundy</t>
  </si>
  <si>
    <t>waffies</t>
  </si>
  <si>
    <t>Brad ‘Silverback’ Burke</t>
  </si>
  <si>
    <t>ranulf</t>
  </si>
  <si>
    <t>Alexandria "Chitters" Dubcord</t>
  </si>
  <si>
    <t>Hokucho</t>
  </si>
  <si>
    <t>Husk Ripjaw</t>
  </si>
  <si>
    <t>Michelle Bloodson</t>
  </si>
  <si>
    <t>iconic_a6m</t>
  </si>
  <si>
    <t>Teeth that can inject people with various things that fits in a vial.</t>
  </si>
  <si>
    <t>Quinton “Quaggan” Wells</t>
  </si>
  <si>
    <t>disgruntle</t>
  </si>
  <si>
    <t>Lucio “La Garra” Cortez</t>
  </si>
  <si>
    <t>High Risk for Cyberpsychosis above this line</t>
  </si>
  <si>
    <t>Nugget</t>
  </si>
  <si>
    <t>idkmouse14</t>
  </si>
  <si>
    <t>Nikki "0v3r410w" Gonzalez</t>
  </si>
  <si>
    <t>dr_st1ngray</t>
  </si>
  <si>
    <t>Camila Cortez</t>
  </si>
  <si>
    <t>gazleon</t>
  </si>
  <si>
    <t>Circe</t>
  </si>
  <si>
    <t>Ghostware Relay Node (Classified)</t>
  </si>
  <si>
    <t>Cameron Ray AKA “Screen”</t>
  </si>
  <si>
    <t>chyver</t>
  </si>
  <si>
    <t>Lucas Shasta Walters</t>
  </si>
  <si>
    <t>Marcus Night</t>
  </si>
  <si>
    <t>Scollar</t>
  </si>
  <si>
    <t>Adrian Gates (Retired)</t>
  </si>
  <si>
    <t>XerasTheFluff</t>
  </si>
  <si>
    <t>Rollo Solnet</t>
  </si>
  <si>
    <t>Flyby</t>
  </si>
  <si>
    <t>Raven "Nightshade" Maverick</t>
  </si>
  <si>
    <t>SpiritFox</t>
  </si>
  <si>
    <t>Jixx "Whisper"</t>
  </si>
  <si>
    <t>J1sper</t>
  </si>
  <si>
    <t>Echo (Custom)</t>
  </si>
  <si>
    <t>Allows him to change between human and exotic (Hologram)</t>
  </si>
  <si>
    <t>Wallie O'Donovan (NPC)</t>
  </si>
  <si>
    <t>Sliss_</t>
  </si>
  <si>
    <t>Donkey Kicks (Gorilla Arms for Legs) (custom)</t>
  </si>
  <si>
    <t>Kick people hard af.</t>
  </si>
  <si>
    <t>Kayce Read</t>
  </si>
  <si>
    <t>Obsessed Demon</t>
  </si>
  <si>
    <t>Right Arm Projectile Launcher</t>
  </si>
  <si>
    <t>Shoot a rocket from his arm. Limited use, Arm is heavy than normal.</t>
  </si>
  <si>
    <t>Freya Orchest</t>
  </si>
  <si>
    <t>finchy1017</t>
  </si>
  <si>
    <t>Combat Chassis</t>
  </si>
  <si>
    <t>Normal Body</t>
  </si>
  <si>
    <t>Yūrei (Shirohane Renzo) (幽霊)</t>
  </si>
  <si>
    <t>ryuuzaki_6107</t>
  </si>
  <si>
    <t>Militech Cyberhand (Cyberarm (Dexterous))</t>
  </si>
  <si>
    <t>Arm-Mounted Cyberdeck (Ghostline) (Custom)</t>
  </si>
  <si>
    <t>Compact Ghostline deck integrated into arm; functionally comparable to a Netrunner Suite, Physical integration for on-the-fly netrunning. Function: A compact, integrated deck (Ghostline model) for netrunning.</t>
  </si>
  <si>
    <t>Memory Lock (Custom)</t>
  </si>
  <si>
    <t>Protects locked memories/data from extraction or unauthorized access. Potential amnesia risk if malfunctioning.</t>
  </si>
  <si>
    <t>Flykra "Snow" Foxx</t>
  </si>
  <si>
    <t>AcetheGodexx</t>
  </si>
  <si>
    <t>Alphonsus "Mr. Marbles" Hennigan</t>
  </si>
  <si>
    <t>the_owlbear_jew</t>
  </si>
  <si>
    <t>Hato</t>
  </si>
  <si>
    <t>motokosusubo</t>
  </si>
  <si>
    <t>Alexi "Northstar" Klar</t>
  </si>
  <si>
    <t>Justine Novák - “Ifrit Pale”</t>
  </si>
  <si>
    <t>blackmetalidiot</t>
  </si>
  <si>
    <t>Alice Evren "White Fox" aka "Athena"</t>
  </si>
  <si>
    <t>smallfox330</t>
  </si>
  <si>
    <t>Reven “holo” reed / Hazel Asher (Dead)</t>
  </si>
  <si>
    <t>Ren "Echo/Batto" Makoto</t>
  </si>
  <si>
    <t>reggieastra</t>
  </si>
  <si>
    <t>Enhanced Ears (Custom)</t>
  </si>
  <si>
    <t>Rosy Caggiano “Angel”</t>
  </si>
  <si>
    <t>moon.gothie</t>
  </si>
  <si>
    <t>Angel “Glass” Marinov</t>
  </si>
  <si>
    <t>firecharge1</t>
  </si>
  <si>
    <t>Blare</t>
  </si>
  <si>
    <t>Sera “Seraph” Parse</t>
  </si>
  <si>
    <t>floweringzaeli</t>
  </si>
  <si>
    <t>Casper</t>
  </si>
  <si>
    <t>rebskii</t>
  </si>
  <si>
    <t>White</t>
  </si>
  <si>
    <t>cleozero</t>
  </si>
  <si>
    <t>Vincenzo "Vinny" Russo</t>
  </si>
  <si>
    <t>Vinnybot&lt;3</t>
  </si>
  <si>
    <t>Shotgun fist gorilla arms - 4 gauge (Custom)</t>
  </si>
  <si>
    <t>Julia [D3M0N]</t>
  </si>
  <si>
    <t>little_demonic</t>
  </si>
  <si>
    <t>Ryder</t>
  </si>
  <si>
    <t xml:space="preserve"> rebskii</t>
  </si>
  <si>
    <t>Dante</t>
  </si>
  <si>
    <t>Q'tarr "The Wolf" Warrian</t>
  </si>
  <si>
    <t>luv_thewolf</t>
  </si>
  <si>
    <t>Reva “Letty” Del’rosa</t>
  </si>
  <si>
    <t>Axe Dussault</t>
  </si>
  <si>
    <t>anuminan</t>
  </si>
  <si>
    <t>Cassian 'Hadal' Knox</t>
  </si>
  <si>
    <t>Gabriel "Gabby" Torenti</t>
  </si>
  <si>
    <t>hokucho</t>
  </si>
  <si>
    <t xml:space="preserve">Leon Álvarez/Ivan “Rev” Revell </t>
  </si>
  <si>
    <t>based_bassist</t>
  </si>
  <si>
    <t>Mesirah "Messy Mes" Lidha</t>
  </si>
  <si>
    <t>mesirah</t>
  </si>
  <si>
    <t>Love Potion - (Custom)</t>
  </si>
  <si>
    <t>Creates a toxin in the uterus that makes juices give a short knockout effect. The toxin has to be used on skin context or oral intake. Drawback: Does not work on Cyberware penis, detoxifier, Supra-Dermal Weave. any detect toxins/chemical ware will detect the uses of the Toxin. Biomonitor will auto-alert their partners.</t>
  </si>
  <si>
    <t>Love Suite - (Custom)</t>
  </si>
  <si>
    <t>Love Suite - (Custom) (1 CWP) Both Mr Studd and Midnight Lady, interchangeable to suit clients desire, Boosted stamina, modular sensations, vibe modules. Drawback: Malfunctions in awkward moments. Buzzes audibly if overused.</t>
  </si>
  <si>
    <t>Reiga</t>
  </si>
  <si>
    <t>nyasix</t>
  </si>
  <si>
    <t>Eve</t>
  </si>
  <si>
    <t>Ronan Vance - "Stray"</t>
  </si>
  <si>
    <t>Orso Vex</t>
  </si>
  <si>
    <t>Chyver</t>
  </si>
  <si>
    <t>William "Crow" Rodriguez</t>
  </si>
  <si>
    <t>aliencowboy</t>
  </si>
  <si>
    <t>Viper Zero</t>
  </si>
  <si>
    <t>valerie_437</t>
  </si>
  <si>
    <t>Vale “Tengu” Yamashi</t>
  </si>
  <si>
    <t>SlayaAU</t>
  </si>
  <si>
    <t>Tatum "Wight" McCallops</t>
  </si>
  <si>
    <t>The Boondock Saint</t>
  </si>
  <si>
    <t>JAKL (pronounced "Jackal")</t>
  </si>
  <si>
    <t>zaihex</t>
  </si>
  <si>
    <t>Dr. Tequila Wolf</t>
  </si>
  <si>
    <t>Max Donovan/Ryan Weyland</t>
  </si>
  <si>
    <t>Oboro_</t>
  </si>
  <si>
    <t>Face Changer (Custom)</t>
  </si>
  <si>
    <t>allows a person to use metanthropic cloaking technology to completely change their facial features to disguise them as another person.</t>
  </si>
  <si>
    <t>Melody “Mel” Jackson (dead)</t>
  </si>
  <si>
    <t>_voidchaos</t>
  </si>
  <si>
    <t>Takashi Himura II</t>
  </si>
  <si>
    <t>_sliss</t>
  </si>
  <si>
    <t>Grief “Sündermann” Weber</t>
  </si>
  <si>
    <t>x3z8</t>
  </si>
  <si>
    <t>Riley 'Spider' Watts - Pizzakev</t>
  </si>
  <si>
    <t>Pizzakev</t>
  </si>
  <si>
    <t>Clive "Prick" Rose</t>
  </si>
  <si>
    <t>wolfy_of_the_british</t>
  </si>
  <si>
    <t>The Rippo Man</t>
  </si>
  <si>
    <t>Lux “Deluxe” Deckard</t>
  </si>
  <si>
    <t>Andre "Swift" Ramirez</t>
  </si>
  <si>
    <t>savxge_alpha</t>
  </si>
  <si>
    <t>Giovanni "Bandit" Romero</t>
  </si>
  <si>
    <t>uss.bigman</t>
  </si>
  <si>
    <t>Brian Thompson</t>
  </si>
  <si>
    <t>8ballsystem</t>
  </si>
  <si>
    <t>Ivana “Valkyrie” Kade</t>
  </si>
  <si>
    <t>freebooze</t>
  </si>
  <si>
    <t>Vanessa Belmonte</t>
  </si>
  <si>
    <t>Eye Cameras (Custom)</t>
  </si>
  <si>
    <t>Take pictures with complete and total secrecy. Shown as smart eyes on scans. Has no smart eye capabilities, Can zoom, Video/Audio Stored locally and immediately uploaded. Can livestream.</t>
  </si>
  <si>
    <t>Gears</t>
  </si>
  <si>
    <t>scollar</t>
  </si>
  <si>
    <t>Victor "Gears" Pierce</t>
  </si>
  <si>
    <t>artificerdrachen</t>
  </si>
  <si>
    <t>Gerald Freeman</t>
  </si>
  <si>
    <t>obsessed_demon</t>
  </si>
  <si>
    <t>Gary "Rooster" Mueller</t>
  </si>
  <si>
    <t>Olivia “Jinx” More</t>
  </si>
  <si>
    <t>Juno Kelner (Valkyrie)</t>
  </si>
  <si>
    <t>thegamingfox807</t>
  </si>
  <si>
    <t>Osha karmi</t>
  </si>
  <si>
    <t>lordbarker.</t>
  </si>
  <si>
    <t>Slimon</t>
  </si>
  <si>
    <t>Geo Leman</t>
  </si>
  <si>
    <t>pardussteal</t>
  </si>
  <si>
    <t>John 'fireball' Uchuu</t>
  </si>
  <si>
    <t>burntlego</t>
  </si>
  <si>
    <t>Luna Bella Consorta</t>
  </si>
  <si>
    <t>Mimi Aoyama (Neko)</t>
  </si>
  <si>
    <t>mrsundeadkitty</t>
  </si>
  <si>
    <t xml:space="preserve">Min-jae [min-jeh] "Mikey" Hyun [h-yoon] </t>
  </si>
  <si>
    <t>Luka Von Lucien</t>
  </si>
  <si>
    <t>peacefulsamy</t>
  </si>
  <si>
    <t>Katherine "Kay" Morris</t>
  </si>
  <si>
    <t>deedalus</t>
  </si>
  <si>
    <t>Nova “Kit”</t>
  </si>
  <si>
    <t>lunasake</t>
  </si>
  <si>
    <t>Spade McCree</t>
  </si>
  <si>
    <t>bellsheeo</t>
  </si>
  <si>
    <t>ThunderWolf</t>
  </si>
  <si>
    <t>thunderwolf721</t>
  </si>
  <si>
    <t>Kha’var "Trigger" Warrian</t>
  </si>
  <si>
    <t>triggertony3164</t>
  </si>
  <si>
    <t>Akane Kuroda</t>
  </si>
  <si>
    <t>azureshinigami</t>
  </si>
  <si>
    <t>Aegis-7 Stealth Pressurized Suit.(Custom)</t>
  </si>
  <si>
    <t>RAM-treated thermal and radar dampening, 12-hour independent oxygen supply, Nano-Mend Matrix: Self-repairing liquid polymer reservoir (5-7 uses).</t>
  </si>
  <si>
    <t>Harlequin</t>
  </si>
  <si>
    <t>pupsiren</t>
  </si>
  <si>
    <t>Sirati Feth (Retired)</t>
  </si>
  <si>
    <t>Finlytalikov</t>
  </si>
  <si>
    <t>Shinohara Risa</t>
  </si>
  <si>
    <t>kanakovt</t>
  </si>
  <si>
    <t>Sarah Lawn (retired)</t>
  </si>
  <si>
    <t>mooserenity</t>
  </si>
  <si>
    <t>Curtis Ashburn</t>
  </si>
  <si>
    <t>knuckson</t>
  </si>
  <si>
    <t>Karmine</t>
  </si>
  <si>
    <t>kitten_katie</t>
  </si>
  <si>
    <t>In Suit</t>
  </si>
  <si>
    <t>Out of suit</t>
  </si>
  <si>
    <t>Terrance J. Scott</t>
  </si>
  <si>
    <t>itsnolongeraboutcheese</t>
  </si>
  <si>
    <t>Gidgit Stitchwyre “Mama”</t>
  </si>
  <si>
    <t>Volt (Militech Callsign "Storm")</t>
  </si>
  <si>
    <t>rustyspoonz1</t>
  </si>
  <si>
    <t>Hawk</t>
  </si>
  <si>
    <t>DeathHawkDown</t>
  </si>
  <si>
    <t>Sebastian Hook (dead)</t>
  </si>
  <si>
    <t>ObsessedDemon</t>
  </si>
  <si>
    <t>Joshua Woods</t>
  </si>
  <si>
    <t>RainIncarnate</t>
  </si>
  <si>
    <t>LOCK / UNLOCK</t>
  </si>
  <si>
    <t>ninjamag</t>
  </si>
  <si>
    <t>Samael</t>
  </si>
  <si>
    <t>mobstupidity</t>
  </si>
  <si>
    <t>Combat Tail</t>
  </si>
  <si>
    <t>A tail thats pure strength, can grab, and trip but has very little fine motor skills/dexterity.</t>
  </si>
  <si>
    <t>Alice Martinez</t>
  </si>
  <si>
    <t>Homare Nishitani</t>
  </si>
  <si>
    <t>oboro_</t>
  </si>
  <si>
    <t>Reina "Wildcall" Arakawa (Retired)</t>
  </si>
  <si>
    <t>Doctor Lucy Moth</t>
  </si>
  <si>
    <t>Hound</t>
  </si>
  <si>
    <t>sailor_bun aka Arson</t>
  </si>
  <si>
    <t>Michael Tullen</t>
  </si>
  <si>
    <t>ironfatherminarus</t>
  </si>
  <si>
    <t>Ivy “Index” Walker</t>
  </si>
  <si>
    <t>Jack “Ash” Vega</t>
  </si>
  <si>
    <t>Nyx</t>
  </si>
  <si>
    <t>phoenixkitsu.</t>
  </si>
  <si>
    <t>Rougarou Wylde</t>
  </si>
  <si>
    <t>stridertempxa</t>
  </si>
  <si>
    <t>Rich “Dodge” Bekmith</t>
  </si>
  <si>
    <t>leonardofoxtron</t>
  </si>
  <si>
    <t>Bayou</t>
  </si>
  <si>
    <t>dustinn.com</t>
  </si>
  <si>
    <t>Sedna</t>
  </si>
  <si>
    <t>baronvondorf210</t>
  </si>
  <si>
    <t>Alice</t>
  </si>
  <si>
    <t>"Old man" Ragnar</t>
  </si>
  <si>
    <t>viking1987</t>
  </si>
  <si>
    <t>Mellow Ainsley</t>
  </si>
  <si>
    <t>smolredfox</t>
  </si>
  <si>
    <t>Monarch Swarm Micro-Emitter (Custom)</t>
  </si>
  <si>
    <t>Deploys micro-drones disguised as bioluminescent butterflies. Causes temporary instability in unshielded personal cyberware within close proximity. Limited radius and duration.
Tradeoff: Significant neural strain, migraines, nausea, sensory dulling after extended use. Lasts 1 Minute, 5 foot radius</t>
  </si>
  <si>
    <t>Unsafe Above this line - Medium Risk</t>
  </si>
  <si>
    <t>Maki “Suit” Junichi</t>
  </si>
  <si>
    <t>TornadoRanger</t>
  </si>
  <si>
    <t>Sasha “Limewire” Graves</t>
  </si>
  <si>
    <t>Gyoubu Oniwa</t>
  </si>
  <si>
    <t>Stella Watson</t>
  </si>
  <si>
    <t>ericvali</t>
  </si>
  <si>
    <t>Ela Myers North (Retired)</t>
  </si>
  <si>
    <t>OrangeTrex</t>
  </si>
  <si>
    <t>DimondSergal (Retired)</t>
  </si>
  <si>
    <t>DimondSergal</t>
  </si>
  <si>
    <t>Vivian "Viv" Reid (Retired)</t>
  </si>
  <si>
    <t>Blitz</t>
  </si>
  <si>
    <t>Ryker | Vex</t>
  </si>
  <si>
    <t>BettaTheFish / vodeldar</t>
  </si>
  <si>
    <t>Dr Fritz Fermi</t>
  </si>
  <si>
    <t>Fenrir Evergreen</t>
  </si>
  <si>
    <t>Second Heart (Custom)</t>
  </si>
  <si>
    <t>If one heart is damaged, the other can take over.</t>
  </si>
  <si>
    <t>Second set of arms (custom)</t>
  </si>
  <si>
    <t>Can hold extra guns</t>
  </si>
  <si>
    <t>Zuri</t>
  </si>
  <si>
    <t>eli_d</t>
  </si>
  <si>
    <t>Jay</t>
  </si>
  <si>
    <t>dewbertcrunch</t>
  </si>
  <si>
    <t>Bandit</t>
  </si>
  <si>
    <t>Sir Lazarus (Formerly Elias Kessler)</t>
  </si>
  <si>
    <t>vexgate</t>
  </si>
  <si>
    <t>Rynix Mithindax Dexma</t>
  </si>
  <si>
    <t>Rynix Dexma</t>
  </si>
  <si>
    <t>Juniper "junebug" Mcleary (Retired)</t>
  </si>
  <si>
    <t>Akali Zangor</t>
  </si>
  <si>
    <t>itzKrypto</t>
  </si>
  <si>
    <t>Riley Watson / Arlo Watson</t>
  </si>
  <si>
    <t>Mentor_Knight</t>
  </si>
  <si>
    <t>Gradiated Subdermal Plating(Custom)</t>
  </si>
  <si>
    <t>Resistant to blades, blunt trauma, slows small caliber bullets but won't stop them.</t>
  </si>
  <si>
    <t>Full Body Conversion - Gemini &amp; Novabeast</t>
  </si>
  <si>
    <t>Reject Human, become furry</t>
  </si>
  <si>
    <t>Basic Cyberoptics (Custom)</t>
  </si>
  <si>
    <t>Zoom, facial ID, AR HUD.</t>
  </si>
  <si>
    <t>Ashton "Ashy" Stripes</t>
  </si>
  <si>
    <t>Wolfyboi_</t>
  </si>
  <si>
    <t>Musicians ears (Custom)</t>
  </si>
  <si>
    <t>Enhanced Ears + Noise Dampeners</t>
  </si>
  <si>
    <t>Alan 'Owl/Weeping Crow' Autarch Jr (Retired)</t>
  </si>
  <si>
    <t>AustrailianError</t>
  </si>
  <si>
    <t>Astrid Hansen</t>
  </si>
  <si>
    <t>fdetonaded</t>
  </si>
  <si>
    <t>jo</t>
  </si>
  <si>
    <t>Eliza Kusanagi</t>
  </si>
  <si>
    <t>Aki Dan Kojima</t>
  </si>
  <si>
    <t>_oboro</t>
  </si>
  <si>
    <t>Roselyn "Rose"</t>
  </si>
  <si>
    <t>sheepesq</t>
  </si>
  <si>
    <t>Jabbles Katan</t>
  </si>
  <si>
    <t>Jabbles</t>
  </si>
  <si>
    <t>Rick Kane</t>
  </si>
  <si>
    <t>lorddepressotm</t>
  </si>
  <si>
    <t>Jimmy "the Snake" Green (NPC)</t>
  </si>
  <si>
    <t>GTTRDS</t>
  </si>
  <si>
    <t>Ethanol Syphon</t>
  </si>
  <si>
    <t xml:space="preserve">Custom built cyberware to help filter out the sheer amount of ethanol that may be generated within the body. Excess amounts are internally stored in a different synthetic organ near the stomach. </t>
  </si>
  <si>
    <t>Iris Calder</t>
  </si>
  <si>
    <t>hyperextra</t>
  </si>
  <si>
    <t>Cyrus "Cyr" Jacobs</t>
  </si>
  <si>
    <t>trinidad_demon</t>
  </si>
  <si>
    <t>"Lior London"</t>
  </si>
  <si>
    <t>heliosstation</t>
  </si>
  <si>
    <t>Sammantha Jackson</t>
  </si>
  <si>
    <t>endevours</t>
  </si>
  <si>
    <t>Johnathan "Rook" Mitchell</t>
  </si>
  <si>
    <t>The Wanderer</t>
  </si>
  <si>
    <t>vinnybot</t>
  </si>
  <si>
    <t>Kai Wren</t>
  </si>
  <si>
    <t>Anya "Dust Fox" Blackhammer</t>
  </si>
  <si>
    <t>larzenic</t>
  </si>
  <si>
    <t>Falconi (The Rabbit)</t>
  </si>
  <si>
    <t>falconirabbit</t>
  </si>
  <si>
    <t>Gwen “Maple”</t>
  </si>
  <si>
    <t>.nemi.</t>
  </si>
  <si>
    <t>"Birdie" Wren</t>
  </si>
  <si>
    <t>Siren</t>
  </si>
  <si>
    <t>auroranova</t>
  </si>
  <si>
    <t>Lycoris Maxim</t>
  </si>
  <si>
    <t>dilandian</t>
  </si>
  <si>
    <t>Mist</t>
  </si>
  <si>
    <t>Jeanne</t>
  </si>
  <si>
    <t>Rachel Brooke</t>
  </si>
  <si>
    <t>armisael_</t>
  </si>
  <si>
    <t>"dead drop" needle (Custom)</t>
  </si>
  <si>
    <t>"dead drop" needle: A black-ceramic needle hidden beneath her inner wrist, below the palm.</t>
  </si>
  <si>
    <t>Needle</t>
  </si>
  <si>
    <t>buns4193</t>
  </si>
  <si>
    <t>Aether Van Buren</t>
  </si>
  <si>
    <t>Unilocation Antenna (Custom)</t>
  </si>
  <si>
    <t>Metal Antenna, very sensitive, inuscule to micro-level movements be picked up, echolocation-esque</t>
  </si>
  <si>
    <t>Gina Goldman</t>
  </si>
  <si>
    <t>bearger</t>
  </si>
  <si>
    <t>Jackson "Penguin" McConnell (Retired)</t>
  </si>
  <si>
    <t>Penguin Boi</t>
  </si>
  <si>
    <t>Ciren Xiangyu</t>
  </si>
  <si>
    <t>VideoTv</t>
  </si>
  <si>
    <t>JohnDeer Deer</t>
  </si>
  <si>
    <t>trainboythedeer</t>
  </si>
  <si>
    <t>Xiao Min</t>
  </si>
  <si>
    <t>siegebastion</t>
  </si>
  <si>
    <t>Carnage</t>
  </si>
  <si>
    <t>Caleb "Spooky" McGregor</t>
  </si>
  <si>
    <t>jesmge</t>
  </si>
  <si>
    <t>Astrid Falk</t>
  </si>
  <si>
    <t>Riann (pronounced “Ryan”) “Rook” Myrvang</t>
  </si>
  <si>
    <t xml:space="preserve"> mellojello</t>
  </si>
  <si>
    <t>Ophelia Everhart</t>
  </si>
  <si>
    <t>Noko / M[ira]</t>
  </si>
  <si>
    <t>hot.water.for.oats</t>
  </si>
  <si>
    <t>Nyx Alset</t>
  </si>
  <si>
    <t>stevethemitochondria</t>
  </si>
  <si>
    <t>Mara Vale</t>
  </si>
  <si>
    <t>nerdynightmare</t>
  </si>
  <si>
    <t>Bones</t>
  </si>
  <si>
    <t xml:space="preserve">Travis “Barrage” Dunlap </t>
  </si>
  <si>
    <t>Phoolery</t>
  </si>
  <si>
    <t>Ignis</t>
  </si>
  <si>
    <t>Firefox</t>
  </si>
  <si>
    <t>Lova</t>
  </si>
  <si>
    <t>Jessica “Quinn” Cortez</t>
  </si>
  <si>
    <t>chromia</t>
  </si>
  <si>
    <t>Good Boy Dallas</t>
  </si>
  <si>
    <t>Jin Atonic</t>
  </si>
  <si>
    <t>Jack 'Hangman' Chlotna (Retired)</t>
  </si>
  <si>
    <t>austrailianerror</t>
  </si>
  <si>
    <t>Liin</t>
  </si>
  <si>
    <t>Liindy</t>
  </si>
  <si>
    <t>Tia</t>
  </si>
  <si>
    <t>mestiia</t>
  </si>
  <si>
    <t>Velvet Venom</t>
  </si>
  <si>
    <t>nizka</t>
  </si>
  <si>
    <t>Taylor Von Karma</t>
  </si>
  <si>
    <t>BigFluffButt</t>
  </si>
  <si>
    <t>Aya “Ghosttail” Shino</t>
  </si>
  <si>
    <t>Leonardo (Dead)</t>
  </si>
  <si>
    <t>starroxen</t>
  </si>
  <si>
    <t>Bryce Connory</t>
  </si>
  <si>
    <t>Kazra Wynter</t>
  </si>
  <si>
    <t>Nyx Calder</t>
  </si>
  <si>
    <t>Vike Stentton</t>
  </si>
  <si>
    <t>jarren</t>
  </si>
  <si>
    <t>Damion (Militech call sign: Deimos) (Dead)</t>
  </si>
  <si>
    <t>gamma148</t>
  </si>
  <si>
    <t>Kina Mazushī</t>
  </si>
  <si>
    <t>vexypu</t>
  </si>
  <si>
    <t>Rhys Hendrix</t>
  </si>
  <si>
    <t>mrbonesvr</t>
  </si>
  <si>
    <t>Cristoff</t>
  </si>
  <si>
    <t>Pholey</t>
  </si>
  <si>
    <t>Khatun</t>
  </si>
  <si>
    <t>stolasplus</t>
  </si>
  <si>
    <t>Jasmin 'Jaz' Mechanica (Retired)</t>
  </si>
  <si>
    <t>Snip06</t>
  </si>
  <si>
    <t>Athleta Jacksawn (Jacks) (Retired)</t>
  </si>
  <si>
    <t>La-Jackie</t>
  </si>
  <si>
    <t>Sarah Richard</t>
  </si>
  <si>
    <t>milliesusilly</t>
  </si>
  <si>
    <t>Lilly Raptor (Dead)</t>
  </si>
  <si>
    <t>goodguypie</t>
  </si>
  <si>
    <t>Kazimierz "Sasko" Barakov</t>
  </si>
  <si>
    <t>DraconusNocturna</t>
  </si>
  <si>
    <t>Thomas "Double T" Tchekov</t>
  </si>
  <si>
    <t>alexykuzneatov</t>
  </si>
  <si>
    <t>Asher Morin</t>
  </si>
  <si>
    <t>Exo Synth</t>
  </si>
  <si>
    <t>link3y</t>
  </si>
  <si>
    <t>Milo Vale</t>
  </si>
  <si>
    <t>landad</t>
  </si>
  <si>
    <t>Miumi Yoko</t>
  </si>
  <si>
    <t>flamenight</t>
  </si>
  <si>
    <t>Glitch | "Madame" (Retired)</t>
  </si>
  <si>
    <t>Bookieson</t>
  </si>
  <si>
    <t>Valeria D. Kirk "Vally K"</t>
  </si>
  <si>
    <t>itsdeadlocks</t>
  </si>
  <si>
    <t>Ivo</t>
  </si>
  <si>
    <t>nauctustheavali</t>
  </si>
  <si>
    <t>Regina Black</t>
  </si>
  <si>
    <t>abyssalreaper</t>
  </si>
  <si>
    <t>Kayla</t>
  </si>
  <si>
    <t>wufski</t>
  </si>
  <si>
    <t>Monoceros Helios Muse</t>
  </si>
  <si>
    <t>tish</t>
  </si>
  <si>
    <t>Melissa “Ember” Hensley</t>
  </si>
  <si>
    <t>Jerome Corrilo</t>
  </si>
  <si>
    <t>jollywolly14</t>
  </si>
  <si>
    <t>Kelly “Holly” Richards</t>
  </si>
  <si>
    <t>j4cka55</t>
  </si>
  <si>
    <t>Lorenzo Harper</t>
  </si>
  <si>
    <t>skaleyseto</t>
  </si>
  <si>
    <t>Integrated Hologram Emitter (custom)</t>
  </si>
  <si>
    <t>projects visuals tied to emotions, pricing, or availability</t>
  </si>
  <si>
    <t>Eve starly</t>
  </si>
  <si>
    <t>gooeypancake</t>
  </si>
  <si>
    <t>Luna</t>
  </si>
  <si>
    <t>Judith Steele</t>
  </si>
  <si>
    <t>Actuallystoked</t>
  </si>
  <si>
    <t>Has basic implants</t>
  </si>
  <si>
    <t>Sienna Morris</t>
  </si>
  <si>
    <t>anyaroseyt</t>
  </si>
  <si>
    <t>Marcus Halloway</t>
  </si>
  <si>
    <t>sniperm</t>
  </si>
  <si>
    <t>Ayrn Rece</t>
  </si>
  <si>
    <t>Fully Organic (Other than being an exotic)</t>
  </si>
  <si>
    <t>John 'Nobody' Seymour</t>
  </si>
  <si>
    <t>Johnjohn 757</t>
  </si>
  <si>
    <t>Fully Organic</t>
  </si>
  <si>
    <t>Keith M. Murphy | “ECH-0 3”</t>
  </si>
  <si>
    <t>marshmallow8245</t>
  </si>
  <si>
    <t>Yora Camillio | "Jane Hare"</t>
  </si>
  <si>
    <t>Cl0wnzzvr</t>
  </si>
  <si>
    <t>Kiera Hearn</t>
  </si>
  <si>
    <t>John Nolan (NPC)</t>
  </si>
  <si>
    <t>dabutcherbomb71</t>
  </si>
  <si>
    <t>Adam ‘snow’ Donovan.</t>
  </si>
  <si>
    <t>Fully Organic (other than cosmetic tail and ears)</t>
  </si>
  <si>
    <t>Salem Relan</t>
  </si>
  <si>
    <t>mutt._.3</t>
  </si>
  <si>
    <t>Mira Mercer</t>
  </si>
  <si>
    <t>Vamp</t>
  </si>
  <si>
    <t>Lupii</t>
  </si>
  <si>
    <t>Zeke</t>
  </si>
  <si>
    <t>issachatter</t>
  </si>
  <si>
    <t>Logan Philip Chlotna - 'Phantom'</t>
  </si>
  <si>
    <t>notarealerror</t>
  </si>
  <si>
    <t>Jackson</t>
  </si>
  <si>
    <t>Crissy</t>
  </si>
  <si>
    <t xml:space="preserve"> lucypinkwolfy</t>
  </si>
  <si>
    <t>Nova Crow</t>
  </si>
  <si>
    <t>sennabloodrose</t>
  </si>
  <si>
    <t>Jesse "Fawn" Snowmoon</t>
  </si>
  <si>
    <t>jessestagdoe</t>
  </si>
  <si>
    <t xml:space="preserve">Bernadette Babinski </t>
  </si>
  <si>
    <t>xaubun</t>
  </si>
  <si>
    <t>Ace Tengamee</t>
  </si>
  <si>
    <t>lucky_ace.</t>
  </si>
  <si>
    <t>Jacob</t>
  </si>
  <si>
    <t>bobbywyatt26</t>
  </si>
  <si>
    <t>Jared Castorian</t>
  </si>
  <si>
    <t>Slot/Type</t>
  </si>
  <si>
    <t>Pride</t>
  </si>
  <si>
    <t>VinnyBot&lt;3</t>
  </si>
  <si>
    <t>Dermal Plating - Chitin variant</t>
  </si>
  <si>
    <t>Extremely strong, the toughest possible plating you can get your hands on. Can regenerate damage to armor over time.</t>
  </si>
  <si>
    <t>Integrated Palm Concussive Emitters</t>
  </si>
  <si>
    <t>piece of experimental Zetatech chrome which, if Pride so chooses to place his hand upon a humanoid head, he emits a concussive blast through soundwaves which rattle the skull and cause the individual to become disoriented and concussed.</t>
  </si>
  <si>
    <t>Ice Layer -  Zetatech corpo grade</t>
  </si>
  <si>
    <t>Jeremy Schaefer von der Laden</t>
  </si>
  <si>
    <t>ZaiHex</t>
  </si>
  <si>
    <t>ULYSSES</t>
  </si>
  <si>
    <t>Lust (Alias: Scarlett)</t>
  </si>
  <si>
    <t>Medusa_cascade</t>
  </si>
  <si>
    <t>Subdermal Occult Sigil Emitters  (Custom)</t>
  </si>
  <si>
    <t>Emit glowing sigils beneath skin for psychological intimidation and occult use.</t>
  </si>
  <si>
    <t>Pheromone Synthesizer (Custom)</t>
  </si>
  <si>
    <t>Greatly enhances seductive influence; makes her extremely convincing and influential.</t>
  </si>
  <si>
    <t>Elira "VIRELLE" Kessane</t>
  </si>
  <si>
    <t>.slaya</t>
  </si>
  <si>
    <t>Neurotonix Pulse Emitter</t>
  </si>
  <si>
    <t>Micro-injector arrays hidden in fingertips can deliver custom biotech nerve agents via touch or scratch – coded to disable, not kill, unless desired.</t>
  </si>
  <si>
    <t>Netrunner Suite (Level 4)</t>
  </si>
  <si>
    <t>Cerebral Partition Node</t>
  </si>
  <si>
    <t>Splits the user’s consciousness into two simultaneous processing streams — one can run nettracing and ICE defense while the other handles negotiation, data review, or social interaction.</t>
  </si>
  <si>
    <t>Gene-Linked Neural Firewall</t>
  </si>
  <si>
    <t>ICE system that only operates when matched to the user’s genetic profile — impossible to use or bypass without their living tissue.</t>
  </si>
  <si>
    <t>Sekhmet Luxor</t>
  </si>
  <si>
    <t>khepri2992/medusa_cascade</t>
  </si>
  <si>
    <t>Sekhmet's Armor - Cyborg body</t>
  </si>
  <si>
    <t>Vaccum sealed Body glove. Insane physical strength and speed. Large retractable claws. Durable enough to get hit by a car, and walk it off. Can leap, vault, and run after prey for days on end.</t>
  </si>
  <si>
    <t>Sekhmet's Armor - A.I. Neural network</t>
  </si>
  <si>
    <t>Allows a KH3PR1 Model AI into her body, it can be removed.  KH3PR1-02 is her designated handler. Significant ice layer, players need to deactivate the AI before they can hack her.</t>
  </si>
  <si>
    <t>Sekhmet’s Armor - Cloaking, and jammer system.</t>
  </si>
  <si>
    <t>Mostly Invis, masks temp, disrupts guidance systems, stops most communication in the area, very obvious shes in the area when equipments start acting faulty. Venting will give her away, the steam is far too noticable.</t>
  </si>
  <si>
    <t>Sekhmet’s Armor - Life support, Power plant, and exterior shell</t>
  </si>
  <si>
    <t>A full body suite designed as both life support, and main implant powering everything. It is her body. The suit cannot be removed. She vents often from both the mouth, and back. The armor is highly resistant to incoming fire.</t>
  </si>
  <si>
    <t>WRATH (Alejandro Cortez)</t>
  </si>
  <si>
    <t>Marcus Harker — “The Iron Executor”</t>
  </si>
  <si>
    <t>Right Arm</t>
  </si>
  <si>
    <t>Fully Cybernetic Arm</t>
  </si>
  <si>
    <t>Dominion OS Priority Uplink</t>
  </si>
  <si>
    <t>Custom Root Access</t>
  </si>
  <si>
    <t>Cranial Vault</t>
  </si>
  <si>
    <t>For classified Data Keys</t>
  </si>
  <si>
    <t>Alex Graves (Alias: Rebecca Knight) (NPC)</t>
  </si>
  <si>
    <t>Harper</t>
  </si>
  <si>
    <t>(Custom Hyperion Model):</t>
  </si>
  <si>
    <t>Full cyberwarfare, backdoor exploitation. Black Lotus–series quad-ASIC neural architecture with Dominion signature firmware.</t>
  </si>
  <si>
    <t>Cranial Dominion ports (custom)</t>
  </si>
  <si>
    <t>for secure uplink.</t>
  </si>
  <si>
    <t xml:space="preserve">Encrypted dead-drop implant </t>
  </si>
  <si>
    <t>Internal data cache</t>
  </si>
  <si>
    <t>Dominion biometric locks</t>
  </si>
  <si>
    <t>executive-tier root token access.</t>
  </si>
  <si>
    <t>Alex Graves (Alias: Drew Camden) (NPC)</t>
  </si>
  <si>
    <t>Raelyna</t>
  </si>
  <si>
    <t>Spike “Sweet Luci” Morningstar (Formerly Rick Jackson)</t>
  </si>
  <si>
    <t>Zetatech Berserk</t>
  </si>
  <si>
    <t>When health reaches 25% refreshes stamina, punch harder, move faster, for like 30 seconds it returns me to a 25% "on the brink" kinda positon</t>
  </si>
  <si>
    <t>Dr. Seolfor Aurelius “Fracstle” (NPC)</t>
  </si>
  <si>
    <t>(NON COMBAT/MISSION USAGE)</t>
  </si>
  <si>
    <t>Lucien Mercer</t>
  </si>
  <si>
    <t>Nachi Keisuke</t>
  </si>
  <si>
    <t>Semi-Invisible when activated (50%)   She covers her scars and real appearance using an always on optical camo</t>
  </si>
  <si>
    <t>Camera Shutdown (Custom)</t>
  </si>
  <si>
    <t>In a small radius around her she automatically shut down cameras</t>
  </si>
  <si>
    <t>Moonshine</t>
  </si>
  <si>
    <t>tornadoranger</t>
  </si>
  <si>
    <t>Casper Jones</t>
  </si>
  <si>
    <t>Roxxi Monroe (NPC)</t>
  </si>
  <si>
    <t>Super Gorilla Arms</t>
  </si>
  <si>
    <t>Lift heavy shit. Overpower people. Physical domination. But Like, More.</t>
  </si>
  <si>
    <t>Millie Harper, Rane “Sparrow”</t>
  </si>
  <si>
    <t>finch1017</t>
  </si>
  <si>
    <t>Blood Pump</t>
  </si>
  <si>
    <t>A blood pump that ensures that blood is forced throughout the body even under extreme G’s. Its in 77 but it just instantly restores health, I think G-Combat makes better sense?</t>
  </si>
  <si>
    <t>Retinal display</t>
  </si>
  <si>
    <t>When jacked into an aircraft, it relays data over the eyes. ONLY in aircraft, no IKEhud</t>
  </si>
  <si>
    <t>Reinforced veins</t>
  </si>
  <si>
    <t>Her veins and arteries are reinforced by nanoweave to withstand the force of the blood pump</t>
  </si>
  <si>
    <t>Sternmeyer</t>
  </si>
  <si>
    <t>abyssalreaper.</t>
  </si>
  <si>
    <t>Takashi Himura</t>
  </si>
  <si>
    <t>Oda Scott Kojima</t>
  </si>
  <si>
    <t>Khepri</t>
  </si>
  <si>
    <t>Luxor</t>
  </si>
  <si>
    <t>Anubian Heart</t>
  </si>
  <si>
    <t>A one of a kind piece of Biochemical genius. Crafted by the world's finest genewrights. The heart is a super organ designed to feed hyper enriched blood, nanites, and is the epicenter for a round the clock healing suite. —A super organ with nanites that rapidly regenerate wounds of any kind, as well as feed the oxygen, and energy demands of a highly specialized body</t>
  </si>
  <si>
    <t>Cindy</t>
  </si>
  <si>
    <t>Johnathan Armstrong</t>
  </si>
  <si>
    <t>7 CWP Build</t>
  </si>
  <si>
    <t>Arm</t>
  </si>
  <si>
    <t>Face (Misc)</t>
  </si>
  <si>
    <t>“Reinforced titanium canines. Bite pressure recorded at 2200 PSI. Capable of puncturing light armor. Subject sometimes growls involuntarily.”</t>
  </si>
  <si>
    <t>Can’t whistle anymore. Intimidating.</t>
  </si>
  <si>
    <t>Eye</t>
  </si>
  <si>
    <t>Ike HUD, wireframe, night vision, xray.</t>
  </si>
  <si>
    <t>Eyes glow. You sometimes blink asynchronously. Footage can be hijacked.</t>
  </si>
  <si>
    <t>Misc</t>
  </si>
  <si>
    <t>Total CWP</t>
  </si>
  <si>
    <t>8 CWP Build</t>
  </si>
  <si>
    <t>Natural weapons; silent, deadly</t>
  </si>
  <si>
    <t>Cyberteeth (Modded Mandibles)</t>
  </si>
  <si>
    <t>Tear through flesh, break bone</t>
  </si>
  <si>
    <t>Night vision, IR, zoom, facial ID</t>
  </si>
  <si>
    <t>Unfiltered instinct—reacts without delay</t>
  </si>
  <si>
    <t>Directional sound tracking, heartbeat detection</t>
  </si>
  <si>
    <t>Hands</t>
  </si>
  <si>
    <t>9 CWP Build</t>
  </si>
  <si>
    <t>Emits weird static. Lights flicker near you. People get headaches.</t>
  </si>
  <si>
    <t>10 CWP Build</t>
  </si>
  <si>
    <t>12 CWP Build</t>
  </si>
  <si>
    <t>15 CWP Build</t>
  </si>
  <si>
    <t>Total 9 CWP build</t>
  </si>
  <si>
    <t>Total 8 CWP build</t>
  </si>
  <si>
    <t>Total 7 CWP</t>
  </si>
  <si>
    <t>ImplantCost</t>
  </si>
  <si>
    <t>Cost unavailable</t>
  </si>
  <si>
    <t>Archetype</t>
  </si>
  <si>
    <t>Mafia Enforcer (6)</t>
  </si>
  <si>
    <t>1.0</t>
  </si>
  <si>
    <t>Mafia Enforcer (10)</t>
  </si>
  <si>
    <t>Mafia Enforcer (15)</t>
  </si>
  <si>
    <t>Exotic Performer (6)</t>
  </si>
  <si>
    <t>Exotic Performer (10)</t>
  </si>
  <si>
    <t>Exotic Performer (15)</t>
  </si>
  <si>
    <t>Corpo (6)</t>
  </si>
  <si>
    <t>Corpo (10)</t>
  </si>
  <si>
    <t>Corpo (15)</t>
  </si>
  <si>
    <t>Nomad (6)</t>
  </si>
  <si>
    <t>Nomad (10)</t>
  </si>
  <si>
    <t>Nomad (15)</t>
  </si>
  <si>
    <t>Netrunner (6)</t>
  </si>
  <si>
    <t>Netrunner (10)</t>
  </si>
  <si>
    <t>Netrunner (15)</t>
  </si>
  <si>
    <t>Assassin (6)</t>
  </si>
  <si>
    <t>Assassin (10)</t>
  </si>
  <si>
    <t>Assassin (15)</t>
  </si>
  <si>
    <t>RipperDoc (6)</t>
  </si>
  <si>
    <t>RipperDoc (10)</t>
  </si>
  <si>
    <t>RipperDoc (15)</t>
  </si>
  <si>
    <t>Back Clinic Doc (6)</t>
  </si>
  <si>
    <t>Back Clinic Doc (10)</t>
  </si>
  <si>
    <t>Back Clinic Doc (15)</t>
  </si>
  <si>
    <t>JoyToy (6)</t>
  </si>
  <si>
    <t>JoyToy (10)</t>
  </si>
  <si>
    <t>JoyToy (15)</t>
  </si>
</sst>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color theme="1"/>
      <name val="Arial"/>
    </font>
    <font>
      <color theme="1"/>
      <name val="Arial"/>
      <scheme val="minor"/>
    </font>
    <font>
      <b/>
      <color theme="1"/>
      <name val="Arial"/>
      <scheme val="minor"/>
    </font>
    <font>
      <b/>
      <sz val="14.0"/>
      <color theme="1"/>
      <name val="Arial"/>
      <scheme val="minor"/>
    </font>
    <font/>
    <font>
      <b/>
      <sz val="16.0"/>
      <color theme="1"/>
      <name val="Arial"/>
      <scheme val="minor"/>
    </font>
    <font>
      <b/>
      <i/>
      <sz val="15.0"/>
      <color theme="1"/>
      <name val="Arial"/>
      <scheme val="minor"/>
    </font>
    <font>
      <b/>
      <sz val="11.0"/>
      <color theme="1"/>
      <name val="Arial"/>
      <scheme val="minor"/>
    </font>
    <font>
      <sz val="20.0"/>
      <color rgb="FFFFFFFF"/>
      <name val="Arial"/>
      <scheme val="minor"/>
    </font>
    <font>
      <b/>
      <sz val="18.0"/>
      <color theme="1"/>
      <name val="Arial"/>
      <scheme val="minor"/>
    </font>
    <font>
      <b/>
      <sz val="12.0"/>
      <color theme="1"/>
      <name val="Arial"/>
      <scheme val="minor"/>
    </font>
    <font>
      <b/>
      <sz val="10.0"/>
      <color theme="1"/>
      <name val="Arial"/>
      <scheme val="minor"/>
    </font>
    <font>
      <b/>
      <sz val="11.0"/>
      <color theme="1"/>
      <name val="Calibri"/>
    </font>
    <font>
      <sz val="18.0"/>
      <color theme="1"/>
      <name val="Arial"/>
      <scheme val="minor"/>
    </font>
    <font>
      <sz val="17.0"/>
      <color theme="1"/>
      <name val="&quot;gg sans&quot;"/>
    </font>
    <font>
      <sz val="22.0"/>
      <color theme="1"/>
      <name val="Arial"/>
      <scheme val="minor"/>
    </font>
    <font>
      <sz val="12.0"/>
      <color theme="1"/>
      <name val="Arial"/>
      <scheme val="minor"/>
    </font>
    <font>
      <sz val="11.0"/>
      <color theme="1"/>
      <name val="Calibri"/>
    </font>
    <font>
      <sz val="10.0"/>
      <color theme="1"/>
      <name val="Arial"/>
    </font>
    <font>
      <sz val="10.0"/>
      <color theme="1"/>
      <name val="Arial"/>
      <scheme val="minor"/>
    </font>
    <font>
      <sz val="12.0"/>
      <color theme="1"/>
      <name val="&quot;gg sans&quot;"/>
    </font>
    <font>
      <sz val="17.0"/>
      <color theme="1"/>
      <name val="Arial"/>
      <scheme val="minor"/>
    </font>
    <font>
      <sz val="22.0"/>
      <color theme="1"/>
      <name val="Arial"/>
    </font>
    <font>
      <sz val="12.0"/>
      <color theme="1"/>
      <name val="Arial"/>
    </font>
    <font>
      <sz val="17.0"/>
      <color theme="1"/>
      <name val="Arial"/>
    </font>
    <font>
      <sz val="17.0"/>
      <color theme="1"/>
      <name val="Inherit"/>
    </font>
    <font>
      <b/>
      <sz val="19.0"/>
      <color rgb="FFFF9900"/>
      <name val="Arial"/>
    </font>
    <font>
      <sz val="10.0"/>
      <color rgb="FFFF9900"/>
      <name val="Arial"/>
    </font>
    <font>
      <sz val="11.0"/>
      <color rgb="FFFF9900"/>
      <name val="Calibri"/>
    </font>
    <font>
      <sz val="14.0"/>
      <color theme="1"/>
      <name val="Arial"/>
      <scheme val="minor"/>
    </font>
    <font>
      <sz val="10.0"/>
      <color theme="1"/>
      <name val="&quot;gg sans&quot;"/>
    </font>
    <font>
      <u/>
      <sz val="17.0"/>
      <color theme="1"/>
      <name val="Inherit"/>
    </font>
    <font>
      <sz val="17.0"/>
      <color rgb="FF000000"/>
      <name val="Arial"/>
    </font>
    <font>
      <b/>
      <sz val="19.0"/>
      <color rgb="FFFF0000"/>
      <name val="Arial"/>
      <scheme val="minor"/>
    </font>
    <font>
      <sz val="16.0"/>
      <color theme="1"/>
      <name val="Arial"/>
      <scheme val="minor"/>
    </font>
    <font>
      <u/>
      <sz val="17.0"/>
      <color theme="1"/>
      <name val="Inherit"/>
    </font>
    <font>
      <sz val="17.0"/>
      <color theme="1"/>
      <name val="&quot;gg mono&quot;"/>
    </font>
    <font>
      <u/>
      <sz val="17.0"/>
      <color theme="1"/>
      <name val="Inherit"/>
    </font>
    <font>
      <sz val="12.0"/>
      <color theme="1"/>
      <name val="Gg sans"/>
    </font>
    <font>
      <sz val="11.0"/>
      <color theme="1"/>
      <name val="Arial"/>
      <scheme val="minor"/>
    </font>
    <font>
      <sz val="11.0"/>
      <color theme="1"/>
      <name val="Arial"/>
    </font>
    <font>
      <sz val="10.0"/>
      <color theme="1"/>
      <name val="Inherit"/>
    </font>
    <font>
      <b/>
      <i/>
      <sz val="24.0"/>
      <color rgb="FFFF0000"/>
      <name val="Arial"/>
    </font>
    <font>
      <sz val="17.0"/>
      <color theme="1"/>
      <name val="Gg sans"/>
    </font>
    <font>
      <sz val="11.0"/>
      <color theme="1"/>
      <name val="&quot;gg sans&quot;"/>
    </font>
    <font>
      <sz val="11.0"/>
      <color theme="1"/>
      <name val="Inherit"/>
    </font>
    <font>
      <sz val="10.0"/>
      <color theme="1"/>
      <name val="&quot;gg mono&quot;"/>
    </font>
    <font>
      <sz val="10.0"/>
      <color rgb="FF000000"/>
      <name val="Arial"/>
    </font>
    <font>
      <sz val="11.0"/>
      <color rgb="FF000000"/>
      <name val="Arial"/>
    </font>
    <font>
      <sz val="17.0"/>
      <color rgb="FF000000"/>
      <name val="Arial"/>
      <scheme val="minor"/>
    </font>
  </fonts>
  <fills count="38">
    <fill>
      <patternFill patternType="none"/>
    </fill>
    <fill>
      <patternFill patternType="lightGray"/>
    </fill>
    <fill>
      <patternFill patternType="solid">
        <fgColor rgb="FFD0E0E3"/>
        <bgColor rgb="FFD0E0E3"/>
      </patternFill>
    </fill>
    <fill>
      <patternFill patternType="solid">
        <fgColor rgb="FFCFE2F3"/>
        <bgColor rgb="FFCFE2F3"/>
      </patternFill>
    </fill>
    <fill>
      <patternFill patternType="solid">
        <fgColor rgb="FFC9DAF8"/>
        <bgColor rgb="FFC9DAF8"/>
      </patternFill>
    </fill>
    <fill>
      <patternFill patternType="solid">
        <fgColor rgb="FFEAD1DC"/>
        <bgColor rgb="FFEAD1DC"/>
      </patternFill>
    </fill>
    <fill>
      <patternFill patternType="solid">
        <fgColor rgb="FFE6B8AF"/>
        <bgColor rgb="FFE6B8AF"/>
      </patternFill>
    </fill>
    <fill>
      <patternFill patternType="solid">
        <fgColor rgb="FFFCE5CD"/>
        <bgColor rgb="FFFCE5CD"/>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FFF2CC"/>
        <bgColor rgb="FFFFF2CC"/>
      </patternFill>
    </fill>
    <fill>
      <patternFill patternType="solid">
        <fgColor rgb="FFEFEFEF"/>
        <bgColor rgb="FFEFEFEF"/>
      </patternFill>
    </fill>
    <fill>
      <patternFill patternType="solid">
        <fgColor rgb="FFD9D9D9"/>
        <bgColor rgb="FFD9D9D9"/>
      </patternFill>
    </fill>
    <fill>
      <patternFill patternType="solid">
        <fgColor rgb="FFFFD966"/>
        <bgColor rgb="FFFFD966"/>
      </patternFill>
    </fill>
    <fill>
      <patternFill patternType="solid">
        <fgColor rgb="FF6AA84F"/>
        <bgColor rgb="FF6AA84F"/>
      </patternFill>
    </fill>
    <fill>
      <patternFill patternType="solid">
        <fgColor rgb="FFB4A7D6"/>
        <bgColor rgb="FFB4A7D6"/>
      </patternFill>
    </fill>
    <fill>
      <patternFill patternType="solid">
        <fgColor rgb="FF6D9EEB"/>
        <bgColor rgb="FF6D9EEB"/>
      </patternFill>
    </fill>
    <fill>
      <patternFill patternType="solid">
        <fgColor rgb="FFFF0000"/>
        <bgColor rgb="FFFF0000"/>
      </patternFill>
    </fill>
    <fill>
      <patternFill patternType="solid">
        <fgColor rgb="FF93C47D"/>
        <bgColor rgb="FF93C47D"/>
      </patternFill>
    </fill>
    <fill>
      <patternFill patternType="solid">
        <fgColor rgb="FFF4FFF0"/>
        <bgColor rgb="FFF4FFF0"/>
      </patternFill>
    </fill>
    <fill>
      <patternFill patternType="solid">
        <fgColor rgb="FFFF9900"/>
        <bgColor rgb="FFFF9900"/>
      </patternFill>
    </fill>
    <fill>
      <patternFill patternType="solid">
        <fgColor rgb="FFE0EBFE"/>
        <bgColor rgb="FFE0EBFE"/>
      </patternFill>
    </fill>
    <fill>
      <patternFill patternType="solid">
        <fgColor rgb="FFFDECDA"/>
        <bgColor rgb="FFFDECDA"/>
      </patternFill>
    </fill>
    <fill>
      <patternFill patternType="solid">
        <fgColor rgb="FFCC0000"/>
        <bgColor rgb="FFCC0000"/>
      </patternFill>
    </fill>
    <fill>
      <patternFill patternType="solid">
        <fgColor rgb="FFC9E13F"/>
        <bgColor rgb="FFC9E13F"/>
      </patternFill>
    </fill>
    <fill>
      <patternFill patternType="solid">
        <fgColor rgb="FFDCE5ED"/>
        <bgColor rgb="FFDCE5ED"/>
      </patternFill>
    </fill>
    <fill>
      <patternFill patternType="solid">
        <fgColor rgb="FFFFF2F2"/>
        <bgColor rgb="FFFFF2F2"/>
      </patternFill>
    </fill>
    <fill>
      <patternFill patternType="solid">
        <fgColor rgb="FFF3FDFF"/>
        <bgColor rgb="FFF3FDFF"/>
      </patternFill>
    </fill>
    <fill>
      <patternFill patternType="solid">
        <fgColor rgb="FFE06666"/>
        <bgColor rgb="FFE06666"/>
      </patternFill>
    </fill>
    <fill>
      <patternFill patternType="solid">
        <fgColor rgb="FFFFE0DA"/>
        <bgColor rgb="FFFFE0DA"/>
      </patternFill>
    </fill>
    <fill>
      <patternFill patternType="solid">
        <fgColor rgb="FFFFFF00"/>
        <bgColor rgb="FFFFFF00"/>
      </patternFill>
    </fill>
    <fill>
      <patternFill patternType="solid">
        <fgColor rgb="FF00FF00"/>
        <bgColor rgb="FF00FF00"/>
      </patternFill>
    </fill>
    <fill>
      <patternFill patternType="solid">
        <fgColor rgb="FFEB9A00"/>
        <bgColor rgb="FFEB9A00"/>
      </patternFill>
    </fill>
    <fill>
      <patternFill patternType="solid">
        <fgColor rgb="FFE3EFF1"/>
        <bgColor rgb="FFE3EFF1"/>
      </patternFill>
    </fill>
    <fill>
      <patternFill patternType="solid">
        <fgColor rgb="FFF3EEFD"/>
        <bgColor rgb="FFF3EEFD"/>
      </patternFill>
    </fill>
    <fill>
      <patternFill patternType="solid">
        <fgColor rgb="FFAED25E"/>
        <bgColor rgb="FFAED25E"/>
      </patternFill>
    </fill>
    <fill>
      <patternFill patternType="solid">
        <fgColor rgb="FFF6EBF0"/>
        <bgColor rgb="FFF6EBF0"/>
      </patternFill>
    </fill>
  </fills>
  <borders count="50">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ck">
        <color rgb="FF000000"/>
      </top>
    </border>
    <border>
      <right style="medium">
        <color rgb="FF000000"/>
      </right>
      <top style="thick">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left style="thick">
        <color rgb="FFF1C232"/>
      </left>
      <top style="thick">
        <color rgb="FFF1C232"/>
      </top>
    </border>
    <border>
      <top style="thick">
        <color rgb="FFF1C232"/>
      </top>
    </border>
    <border>
      <right style="thick">
        <color rgb="FFF1C232"/>
      </right>
      <top style="thick">
        <color rgb="FFF1C232"/>
      </top>
    </border>
    <border>
      <left style="thick">
        <color rgb="FFF1C232"/>
      </left>
    </border>
    <border>
      <right style="thick">
        <color rgb="FFF1C232"/>
      </right>
    </border>
    <border>
      <left style="thick">
        <color rgb="FFF1C232"/>
      </left>
      <bottom style="thick">
        <color rgb="FFF1C232"/>
      </bottom>
    </border>
    <border>
      <bottom style="thick">
        <color rgb="FFF1C232"/>
      </bottom>
    </border>
    <border>
      <right style="thick">
        <color rgb="FFF1C232"/>
      </right>
      <bottom style="thick">
        <color rgb="FFF1C232"/>
      </bottom>
    </border>
    <border>
      <left style="thin">
        <color rgb="FF000000"/>
      </left>
      <right style="thin">
        <color rgb="FF000000"/>
      </right>
      <top style="thin">
        <color rgb="FF000000"/>
      </top>
      <bottom style="thin">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left style="thick">
        <color rgb="FF000000"/>
      </left>
      <top style="thick">
        <color rgb="FF000000"/>
      </top>
    </border>
    <border>
      <right style="thick">
        <color rgb="FF000000"/>
      </right>
      <top style="thick">
        <color rgb="FF000000"/>
      </top>
    </border>
    <border>
      <right style="thick">
        <color rgb="FF000000"/>
      </right>
      <bottom style="thick">
        <color rgb="FF000000"/>
      </bottom>
    </border>
    <border>
      <left style="double">
        <color rgb="FF000000"/>
      </left>
      <top style="thick">
        <color rgb="FF000000"/>
      </top>
    </border>
    <border>
      <right style="double">
        <color rgb="FF000000"/>
      </right>
      <top style="thick">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n">
        <color rgb="FF000000"/>
      </left>
      <top style="thin">
        <color rgb="FF000000"/>
      </top>
    </border>
    <border>
      <left style="thin">
        <color rgb="FF000000"/>
      </left>
    </border>
    <border>
      <left style="thin">
        <color rgb="FF000000"/>
      </lef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86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horizontal="right" readingOrder="0" vertical="bottom"/>
    </xf>
    <xf borderId="0" fillId="0" fontId="2" numFmtId="0" xfId="0" applyAlignment="1" applyFont="1">
      <alignment readingOrder="0"/>
    </xf>
    <xf borderId="1" fillId="2" fontId="1" numFmtId="0" xfId="0" applyAlignment="1" applyBorder="1" applyFill="1" applyFont="1">
      <alignment vertical="bottom"/>
    </xf>
    <xf borderId="2" fillId="2" fontId="1" numFmtId="0" xfId="0" applyAlignment="1" applyBorder="1" applyFont="1">
      <alignment horizontal="center" vertical="bottom"/>
    </xf>
    <xf borderId="2" fillId="2" fontId="2" numFmtId="0" xfId="0" applyAlignment="1" applyBorder="1" applyFont="1">
      <alignment readingOrder="0"/>
    </xf>
    <xf borderId="2" fillId="2" fontId="1" numFmtId="0" xfId="0" applyAlignment="1" applyBorder="1" applyFont="1">
      <alignment vertical="bottom"/>
    </xf>
    <xf borderId="3" fillId="2" fontId="2" numFmtId="0" xfId="0" applyAlignment="1" applyBorder="1" applyFont="1">
      <alignment readingOrder="0"/>
    </xf>
    <xf borderId="3" fillId="2" fontId="2" numFmtId="0" xfId="0" applyBorder="1" applyFont="1"/>
    <xf borderId="4" fillId="2" fontId="1" numFmtId="0" xfId="0" applyAlignment="1" applyBorder="1" applyFont="1">
      <alignment vertical="bottom"/>
    </xf>
    <xf borderId="0" fillId="2" fontId="1" numFmtId="0" xfId="0" applyAlignment="1" applyFont="1">
      <alignment horizontal="center" vertical="bottom"/>
    </xf>
    <xf borderId="0" fillId="2" fontId="2" numFmtId="0" xfId="0" applyAlignment="1" applyFont="1">
      <alignment readingOrder="0"/>
    </xf>
    <xf borderId="0" fillId="2" fontId="1" numFmtId="0" xfId="0" applyAlignment="1" applyFont="1">
      <alignment readingOrder="0" vertical="bottom"/>
    </xf>
    <xf borderId="0" fillId="2" fontId="1" numFmtId="0" xfId="0" applyAlignment="1" applyFont="1">
      <alignment vertical="bottom"/>
    </xf>
    <xf borderId="5" fillId="2" fontId="2" numFmtId="0" xfId="0" applyAlignment="1" applyBorder="1" applyFont="1">
      <alignment readingOrder="0"/>
    </xf>
    <xf borderId="5" fillId="2" fontId="2" numFmtId="0" xfId="0" applyBorder="1" applyFont="1"/>
    <xf borderId="1" fillId="3" fontId="1" numFmtId="0" xfId="0" applyAlignment="1" applyBorder="1" applyFill="1" applyFont="1">
      <alignment vertical="bottom"/>
    </xf>
    <xf borderId="2" fillId="3" fontId="1" numFmtId="0" xfId="0" applyAlignment="1" applyBorder="1" applyFont="1">
      <alignment horizontal="center" readingOrder="0" vertical="bottom"/>
    </xf>
    <xf borderId="2" fillId="3" fontId="2" numFmtId="0" xfId="0" applyAlignment="1" applyBorder="1" applyFont="1">
      <alignment readingOrder="0"/>
    </xf>
    <xf borderId="2" fillId="3" fontId="1" numFmtId="0" xfId="0" applyAlignment="1" applyBorder="1" applyFont="1">
      <alignment vertical="bottom"/>
    </xf>
    <xf borderId="2" fillId="4" fontId="2" numFmtId="0" xfId="0" applyAlignment="1" applyBorder="1" applyFill="1" applyFont="1">
      <alignment readingOrder="0"/>
    </xf>
    <xf borderId="3" fillId="4" fontId="2" numFmtId="0" xfId="0" applyAlignment="1" applyBorder="1" applyFont="1">
      <alignment readingOrder="0"/>
    </xf>
    <xf borderId="3" fillId="4" fontId="2" numFmtId="0" xfId="0" applyBorder="1" applyFont="1"/>
    <xf borderId="6" fillId="3" fontId="1" numFmtId="0" xfId="0" applyAlignment="1" applyBorder="1" applyFont="1">
      <alignment vertical="bottom"/>
    </xf>
    <xf borderId="7" fillId="3" fontId="1" numFmtId="0" xfId="0" applyAlignment="1" applyBorder="1" applyFont="1">
      <alignment horizontal="center" vertical="bottom"/>
    </xf>
    <xf borderId="7" fillId="3" fontId="2" numFmtId="0" xfId="0" applyAlignment="1" applyBorder="1" applyFont="1">
      <alignment readingOrder="0"/>
    </xf>
    <xf borderId="7" fillId="3" fontId="1" numFmtId="0" xfId="0" applyAlignment="1" applyBorder="1" applyFont="1">
      <alignment vertical="bottom"/>
    </xf>
    <xf borderId="7" fillId="4" fontId="2" numFmtId="0" xfId="0" applyAlignment="1" applyBorder="1" applyFont="1">
      <alignment readingOrder="0"/>
    </xf>
    <xf borderId="8" fillId="4" fontId="2" numFmtId="0" xfId="0" applyAlignment="1" applyBorder="1" applyFont="1">
      <alignment readingOrder="0"/>
    </xf>
    <xf borderId="8" fillId="4" fontId="2" numFmtId="0" xfId="0" applyBorder="1" applyFont="1"/>
    <xf borderId="1" fillId="5" fontId="1" numFmtId="0" xfId="0" applyAlignment="1" applyBorder="1" applyFill="1" applyFont="1">
      <alignment vertical="bottom"/>
    </xf>
    <xf borderId="2" fillId="5" fontId="1" numFmtId="0" xfId="0" applyAlignment="1" applyBorder="1" applyFont="1">
      <alignment horizontal="center" vertical="bottom"/>
    </xf>
    <xf borderId="2" fillId="5" fontId="2" numFmtId="0" xfId="0" applyAlignment="1" applyBorder="1" applyFont="1">
      <alignment readingOrder="0"/>
    </xf>
    <xf borderId="2" fillId="5" fontId="1" numFmtId="0" xfId="0" applyAlignment="1" applyBorder="1" applyFont="1">
      <alignment vertical="bottom"/>
    </xf>
    <xf borderId="3" fillId="5" fontId="2" numFmtId="0" xfId="0" applyAlignment="1" applyBorder="1" applyFont="1">
      <alignment readingOrder="0"/>
    </xf>
    <xf borderId="3" fillId="5" fontId="2" numFmtId="0" xfId="0" applyBorder="1" applyFont="1"/>
    <xf borderId="4" fillId="5" fontId="1" numFmtId="0" xfId="0" applyAlignment="1" applyBorder="1" applyFont="1">
      <alignment vertical="bottom"/>
    </xf>
    <xf borderId="0" fillId="5" fontId="1" numFmtId="0" xfId="0" applyAlignment="1" applyFont="1">
      <alignment horizontal="center" vertical="bottom"/>
    </xf>
    <xf borderId="0" fillId="5" fontId="2" numFmtId="0" xfId="0" applyAlignment="1" applyFont="1">
      <alignment readingOrder="0"/>
    </xf>
    <xf borderId="0" fillId="5" fontId="1" numFmtId="0" xfId="0" applyAlignment="1" applyFont="1">
      <alignment readingOrder="0" vertical="bottom"/>
    </xf>
    <xf borderId="0" fillId="5" fontId="1" numFmtId="0" xfId="0" applyAlignment="1" applyFont="1">
      <alignment vertical="bottom"/>
    </xf>
    <xf borderId="5" fillId="5" fontId="2" numFmtId="0" xfId="0" applyAlignment="1" applyBorder="1" applyFont="1">
      <alignment readingOrder="0"/>
    </xf>
    <xf borderId="5" fillId="5" fontId="2" numFmtId="0" xfId="0" applyBorder="1" applyFont="1"/>
    <xf borderId="0" fillId="0" fontId="3" numFmtId="0" xfId="0" applyAlignment="1" applyFont="1">
      <alignment horizontal="center" readingOrder="0"/>
    </xf>
    <xf borderId="1" fillId="6" fontId="1" numFmtId="0" xfId="0" applyAlignment="1" applyBorder="1" applyFill="1" applyFont="1">
      <alignment vertical="bottom"/>
    </xf>
    <xf borderId="2" fillId="6" fontId="1" numFmtId="0" xfId="0" applyAlignment="1" applyBorder="1" applyFont="1">
      <alignment horizontal="center" vertical="bottom"/>
    </xf>
    <xf borderId="2" fillId="6" fontId="2" numFmtId="0" xfId="0" applyAlignment="1" applyBorder="1" applyFont="1">
      <alignment readingOrder="0"/>
    </xf>
    <xf borderId="2" fillId="6" fontId="1" numFmtId="0" xfId="0" applyAlignment="1" applyBorder="1" applyFont="1">
      <alignment vertical="bottom"/>
    </xf>
    <xf borderId="3" fillId="6" fontId="2" numFmtId="0" xfId="0" applyAlignment="1" applyBorder="1" applyFont="1">
      <alignment readingOrder="0"/>
    </xf>
    <xf borderId="3" fillId="6" fontId="2" numFmtId="0" xfId="0" applyBorder="1" applyFont="1"/>
    <xf borderId="4" fillId="6" fontId="1" numFmtId="0" xfId="0" applyAlignment="1" applyBorder="1" applyFont="1">
      <alignment vertical="bottom"/>
    </xf>
    <xf borderId="0" fillId="6" fontId="1" numFmtId="0" xfId="0" applyAlignment="1" applyFont="1">
      <alignment horizontal="center" vertical="bottom"/>
    </xf>
    <xf borderId="0" fillId="6" fontId="2" numFmtId="0" xfId="0" applyAlignment="1" applyFont="1">
      <alignment readingOrder="0"/>
    </xf>
    <xf borderId="0" fillId="6" fontId="1" numFmtId="0" xfId="0" applyAlignment="1" applyFont="1">
      <alignment vertical="bottom"/>
    </xf>
    <xf borderId="5" fillId="6" fontId="2" numFmtId="0" xfId="0" applyAlignment="1" applyBorder="1" applyFont="1">
      <alignment readingOrder="0"/>
    </xf>
    <xf borderId="5" fillId="6" fontId="2" numFmtId="0" xfId="0" applyBorder="1" applyFont="1"/>
    <xf borderId="0" fillId="6" fontId="2" numFmtId="0" xfId="0" applyFont="1"/>
    <xf borderId="4" fillId="6" fontId="1" numFmtId="0" xfId="0" applyAlignment="1" applyBorder="1" applyFont="1">
      <alignment vertical="bottom"/>
    </xf>
    <xf borderId="0" fillId="6" fontId="1" numFmtId="0" xfId="0" applyAlignment="1" applyFont="1">
      <alignment horizontal="center" vertical="bottom"/>
    </xf>
    <xf borderId="0" fillId="6" fontId="1" numFmtId="0" xfId="0" applyAlignment="1" applyFont="1">
      <alignment vertical="bottom"/>
    </xf>
    <xf borderId="1" fillId="7" fontId="1" numFmtId="0" xfId="0" applyAlignment="1" applyBorder="1" applyFill="1" applyFont="1">
      <alignment vertical="bottom"/>
    </xf>
    <xf borderId="9" fillId="7" fontId="1" numFmtId="0" xfId="0" applyAlignment="1" applyBorder="1" applyFont="1">
      <alignment horizontal="center" vertical="bottom"/>
    </xf>
    <xf borderId="9" fillId="7" fontId="2" numFmtId="0" xfId="0" applyAlignment="1" applyBorder="1" applyFont="1">
      <alignment readingOrder="0"/>
    </xf>
    <xf borderId="9" fillId="7" fontId="1" numFmtId="0" xfId="0" applyAlignment="1" applyBorder="1" applyFont="1">
      <alignment readingOrder="0" vertical="bottom"/>
    </xf>
    <xf borderId="9" fillId="7" fontId="1" numFmtId="0" xfId="0" applyAlignment="1" applyBorder="1" applyFont="1">
      <alignment vertical="bottom"/>
    </xf>
    <xf borderId="10" fillId="7" fontId="2" numFmtId="0" xfId="0" applyAlignment="1" applyBorder="1" applyFont="1">
      <alignment readingOrder="0"/>
    </xf>
    <xf borderId="10" fillId="7" fontId="2" numFmtId="0" xfId="0" applyBorder="1" applyFont="1"/>
    <xf borderId="4" fillId="7" fontId="1" numFmtId="0" xfId="0" applyAlignment="1" applyBorder="1" applyFont="1">
      <alignment readingOrder="0" vertical="bottom"/>
    </xf>
    <xf borderId="0" fillId="7" fontId="1" numFmtId="0" xfId="0" applyAlignment="1" applyFont="1">
      <alignment horizontal="center" readingOrder="0" vertical="bottom"/>
    </xf>
    <xf borderId="0" fillId="7" fontId="2" numFmtId="0" xfId="0" applyAlignment="1" applyFont="1">
      <alignment readingOrder="0"/>
    </xf>
    <xf borderId="0" fillId="7" fontId="1" numFmtId="0" xfId="0" applyAlignment="1" applyFont="1">
      <alignment readingOrder="0" vertical="bottom"/>
    </xf>
    <xf borderId="0" fillId="7" fontId="1" numFmtId="0" xfId="0" applyAlignment="1" applyFont="1">
      <alignment vertical="bottom"/>
    </xf>
    <xf borderId="5" fillId="7" fontId="2" numFmtId="0" xfId="0" applyAlignment="1" applyBorder="1" applyFont="1">
      <alignment readingOrder="0"/>
    </xf>
    <xf borderId="5" fillId="7" fontId="2" numFmtId="0" xfId="0" applyBorder="1" applyFont="1"/>
    <xf borderId="4" fillId="7" fontId="1" numFmtId="0" xfId="0" applyAlignment="1" applyBorder="1" applyFont="1">
      <alignment vertical="bottom"/>
    </xf>
    <xf borderId="0" fillId="7" fontId="1" numFmtId="0" xfId="0" applyAlignment="1" applyFont="1">
      <alignment horizontal="center" vertical="bottom"/>
    </xf>
    <xf borderId="4" fillId="7" fontId="1" numFmtId="0" xfId="0" applyAlignment="1" applyBorder="1" applyFont="1">
      <alignment vertical="bottom"/>
    </xf>
    <xf borderId="0" fillId="7" fontId="1" numFmtId="0" xfId="0" applyAlignment="1" applyFont="1">
      <alignment horizontal="center" vertical="bottom"/>
    </xf>
    <xf borderId="0" fillId="7" fontId="1" numFmtId="0" xfId="0" applyAlignment="1" applyFont="1">
      <alignment vertical="bottom"/>
    </xf>
    <xf borderId="6" fillId="7" fontId="1" numFmtId="0" xfId="0" applyAlignment="1" applyBorder="1" applyFont="1">
      <alignment vertical="bottom"/>
    </xf>
    <xf borderId="7" fillId="7" fontId="1" numFmtId="0" xfId="0" applyAlignment="1" applyBorder="1" applyFont="1">
      <alignment horizontal="center" readingOrder="0" vertical="bottom"/>
    </xf>
    <xf borderId="7" fillId="7" fontId="2" numFmtId="0" xfId="0" applyAlignment="1" applyBorder="1" applyFont="1">
      <alignment readingOrder="0"/>
    </xf>
    <xf borderId="7" fillId="7" fontId="1" numFmtId="0" xfId="0" applyAlignment="1" applyBorder="1" applyFont="1">
      <alignment vertical="bottom"/>
    </xf>
    <xf borderId="8" fillId="7" fontId="2" numFmtId="0" xfId="0" applyAlignment="1" applyBorder="1" applyFont="1">
      <alignment readingOrder="0"/>
    </xf>
    <xf borderId="8" fillId="7" fontId="2" numFmtId="0" xfId="0" applyBorder="1" applyFont="1"/>
    <xf borderId="1" fillId="8" fontId="1" numFmtId="0" xfId="0" applyAlignment="1" applyBorder="1" applyFill="1" applyFont="1">
      <alignment vertical="bottom"/>
    </xf>
    <xf borderId="2" fillId="8" fontId="1" numFmtId="0" xfId="0" applyAlignment="1" applyBorder="1" applyFont="1">
      <alignment horizontal="center" vertical="bottom"/>
    </xf>
    <xf borderId="2" fillId="8" fontId="2" numFmtId="0" xfId="0" applyAlignment="1" applyBorder="1" applyFont="1">
      <alignment readingOrder="0"/>
    </xf>
    <xf borderId="2" fillId="8" fontId="1" numFmtId="0" xfId="0" applyAlignment="1" applyBorder="1" applyFont="1">
      <alignment vertical="bottom"/>
    </xf>
    <xf borderId="3" fillId="8" fontId="2" numFmtId="0" xfId="0" applyAlignment="1" applyBorder="1" applyFont="1">
      <alignment readingOrder="0"/>
    </xf>
    <xf borderId="3" fillId="8" fontId="2" numFmtId="0" xfId="0" applyBorder="1" applyFont="1"/>
    <xf borderId="6" fillId="8" fontId="1" numFmtId="0" xfId="0" applyAlignment="1" applyBorder="1" applyFont="1">
      <alignment vertical="bottom"/>
    </xf>
    <xf borderId="7" fillId="8" fontId="1" numFmtId="0" xfId="0" applyAlignment="1" applyBorder="1" applyFont="1">
      <alignment horizontal="center" vertical="bottom"/>
    </xf>
    <xf borderId="7" fillId="8" fontId="2" numFmtId="0" xfId="0" applyAlignment="1" applyBorder="1" applyFont="1">
      <alignment readingOrder="0"/>
    </xf>
    <xf borderId="7" fillId="8" fontId="1" numFmtId="0" xfId="0" applyAlignment="1" applyBorder="1" applyFont="1">
      <alignment vertical="bottom"/>
    </xf>
    <xf borderId="7" fillId="8" fontId="2" numFmtId="0" xfId="0" applyBorder="1" applyFont="1"/>
    <xf borderId="8" fillId="8" fontId="2" numFmtId="0" xfId="0" applyAlignment="1" applyBorder="1" applyFont="1">
      <alignment readingOrder="0"/>
    </xf>
    <xf borderId="8" fillId="8" fontId="2" numFmtId="0" xfId="0" applyBorder="1" applyFont="1"/>
    <xf borderId="1" fillId="4" fontId="1" numFmtId="0" xfId="0" applyAlignment="1" applyBorder="1" applyFont="1">
      <alignment vertical="bottom"/>
    </xf>
    <xf borderId="2" fillId="4" fontId="1" numFmtId="0" xfId="0" applyAlignment="1" applyBorder="1" applyFont="1">
      <alignment horizontal="center" vertical="bottom"/>
    </xf>
    <xf borderId="2" fillId="4" fontId="1" numFmtId="0" xfId="0" applyAlignment="1" applyBorder="1" applyFont="1">
      <alignment vertical="bottom"/>
    </xf>
    <xf borderId="2" fillId="4" fontId="2" numFmtId="0" xfId="0" applyBorder="1" applyFont="1"/>
    <xf borderId="0" fillId="4" fontId="1" numFmtId="0" xfId="0" applyAlignment="1" applyFont="1">
      <alignment vertical="bottom"/>
    </xf>
    <xf borderId="0" fillId="4" fontId="1" numFmtId="0" xfId="0" applyAlignment="1" applyFont="1">
      <alignment horizontal="center" vertical="bottom"/>
    </xf>
    <xf borderId="0" fillId="4" fontId="2" numFmtId="0" xfId="0" applyAlignment="1" applyFont="1">
      <alignment readingOrder="0"/>
    </xf>
    <xf borderId="0" fillId="4" fontId="1" numFmtId="0" xfId="0" applyAlignment="1" applyFont="1">
      <alignment readingOrder="0" vertical="bottom"/>
    </xf>
    <xf borderId="11" fillId="4" fontId="2" numFmtId="0" xfId="0" applyBorder="1" applyFont="1"/>
    <xf borderId="4" fillId="4" fontId="1" numFmtId="0" xfId="0" applyAlignment="1" applyBorder="1" applyFont="1">
      <alignment vertical="bottom"/>
    </xf>
    <xf borderId="5" fillId="4" fontId="2" numFmtId="0" xfId="0" applyAlignment="1" applyBorder="1" applyFont="1">
      <alignment readingOrder="0"/>
    </xf>
    <xf borderId="5" fillId="4" fontId="2" numFmtId="0" xfId="0" applyBorder="1" applyFont="1"/>
    <xf borderId="0" fillId="4" fontId="1" numFmtId="0" xfId="0" applyAlignment="1" applyFont="1">
      <alignment horizontal="center" readingOrder="0" vertical="bottom"/>
    </xf>
    <xf borderId="4" fillId="4" fontId="1" numFmtId="0" xfId="0" applyAlignment="1" applyBorder="1" applyFont="1">
      <alignment vertical="bottom"/>
    </xf>
    <xf borderId="0" fillId="4" fontId="1" numFmtId="0" xfId="0" applyAlignment="1" applyFont="1">
      <alignment horizontal="center" vertical="bottom"/>
    </xf>
    <xf borderId="0" fillId="4" fontId="1" numFmtId="0" xfId="0" applyAlignment="1" applyFont="1">
      <alignment vertical="bottom"/>
    </xf>
    <xf borderId="4" fillId="4" fontId="1" numFmtId="0" xfId="0" applyAlignment="1" applyBorder="1" applyFont="1">
      <alignment readingOrder="0" vertical="bottom"/>
    </xf>
    <xf borderId="0" fillId="4" fontId="2" numFmtId="0" xfId="0" applyFont="1"/>
    <xf borderId="6" fillId="4" fontId="1" numFmtId="0" xfId="0" applyAlignment="1" applyBorder="1" applyFont="1">
      <alignment vertical="bottom"/>
    </xf>
    <xf borderId="7" fillId="4" fontId="1" numFmtId="0" xfId="0" applyAlignment="1" applyBorder="1" applyFont="1">
      <alignment horizontal="center" vertical="bottom"/>
    </xf>
    <xf borderId="7" fillId="4" fontId="1" numFmtId="0" xfId="0" applyAlignment="1" applyBorder="1" applyFont="1">
      <alignment vertical="bottom"/>
    </xf>
    <xf borderId="7" fillId="4" fontId="2" numFmtId="0" xfId="0" applyBorder="1" applyFont="1"/>
    <xf borderId="1" fillId="9" fontId="1" numFmtId="0" xfId="0" applyAlignment="1" applyBorder="1" applyFill="1" applyFont="1">
      <alignment vertical="bottom"/>
    </xf>
    <xf borderId="2" fillId="9" fontId="1" numFmtId="0" xfId="0" applyAlignment="1" applyBorder="1" applyFont="1">
      <alignment horizontal="center" vertical="bottom"/>
    </xf>
    <xf borderId="2" fillId="9" fontId="2" numFmtId="0" xfId="0" applyAlignment="1" applyBorder="1" applyFont="1">
      <alignment readingOrder="0"/>
    </xf>
    <xf borderId="2" fillId="9" fontId="1" numFmtId="0" xfId="0" applyAlignment="1" applyBorder="1" applyFont="1">
      <alignment vertical="bottom"/>
    </xf>
    <xf borderId="2" fillId="9" fontId="2" numFmtId="0" xfId="0" applyBorder="1" applyFont="1"/>
    <xf borderId="3" fillId="9" fontId="2" numFmtId="0" xfId="0" applyAlignment="1" applyBorder="1" applyFont="1">
      <alignment readingOrder="0"/>
    </xf>
    <xf borderId="3" fillId="9" fontId="2" numFmtId="0" xfId="0" applyBorder="1" applyFont="1"/>
    <xf borderId="4" fillId="9" fontId="1" numFmtId="0" xfId="0" applyAlignment="1" applyBorder="1" applyFont="1">
      <alignment vertical="bottom"/>
    </xf>
    <xf borderId="0" fillId="9" fontId="1" numFmtId="0" xfId="0" applyAlignment="1" applyFont="1">
      <alignment horizontal="center" vertical="bottom"/>
    </xf>
    <xf borderId="0" fillId="9" fontId="2" numFmtId="0" xfId="0" applyAlignment="1" applyFont="1">
      <alignment readingOrder="0"/>
    </xf>
    <xf borderId="0" fillId="9" fontId="1" numFmtId="0" xfId="0" applyAlignment="1" applyFont="1">
      <alignment vertical="bottom"/>
    </xf>
    <xf borderId="0" fillId="9" fontId="2" numFmtId="0" xfId="0" applyFont="1"/>
    <xf borderId="5" fillId="9" fontId="2" numFmtId="0" xfId="0" applyAlignment="1" applyBorder="1" applyFont="1">
      <alignment readingOrder="0"/>
    </xf>
    <xf borderId="5" fillId="9" fontId="2" numFmtId="0" xfId="0" applyBorder="1" applyFont="1"/>
    <xf borderId="6" fillId="9" fontId="1" numFmtId="0" xfId="0" applyAlignment="1" applyBorder="1" applyFont="1">
      <alignment vertical="bottom"/>
    </xf>
    <xf borderId="7" fillId="9" fontId="1" numFmtId="0" xfId="0" applyAlignment="1" applyBorder="1" applyFont="1">
      <alignment horizontal="center" vertical="bottom"/>
    </xf>
    <xf borderId="7" fillId="9" fontId="2" numFmtId="0" xfId="0" applyAlignment="1" applyBorder="1" applyFont="1">
      <alignment readingOrder="0"/>
    </xf>
    <xf borderId="7" fillId="9" fontId="1" numFmtId="0" xfId="0" applyAlignment="1" applyBorder="1" applyFont="1">
      <alignment vertical="bottom"/>
    </xf>
    <xf borderId="7" fillId="9" fontId="2" numFmtId="0" xfId="0" applyBorder="1" applyFont="1"/>
    <xf borderId="8" fillId="9" fontId="2" numFmtId="0" xfId="0" applyAlignment="1" applyBorder="1" applyFont="1">
      <alignment readingOrder="0"/>
    </xf>
    <xf borderId="8" fillId="9" fontId="2" numFmtId="0" xfId="0" applyBorder="1" applyFont="1"/>
    <xf borderId="1" fillId="10" fontId="1" numFmtId="0" xfId="0" applyAlignment="1" applyBorder="1" applyFill="1" applyFont="1">
      <alignment vertical="bottom"/>
    </xf>
    <xf borderId="2" fillId="10" fontId="1" numFmtId="0" xfId="0" applyAlignment="1" applyBorder="1" applyFont="1">
      <alignment horizontal="center" vertical="bottom"/>
    </xf>
    <xf borderId="2" fillId="10" fontId="2" numFmtId="0" xfId="0" applyAlignment="1" applyBorder="1" applyFont="1">
      <alignment readingOrder="0"/>
    </xf>
    <xf borderId="2" fillId="10" fontId="1" numFmtId="0" xfId="0" applyAlignment="1" applyBorder="1" applyFont="1">
      <alignment vertical="bottom"/>
    </xf>
    <xf borderId="2" fillId="10" fontId="2" numFmtId="0" xfId="0" applyBorder="1" applyFont="1"/>
    <xf borderId="3" fillId="10" fontId="2" numFmtId="0" xfId="0" applyAlignment="1" applyBorder="1" applyFont="1">
      <alignment readingOrder="0"/>
    </xf>
    <xf borderId="3" fillId="10" fontId="2" numFmtId="0" xfId="0" applyBorder="1" applyFont="1"/>
    <xf borderId="4" fillId="10" fontId="1" numFmtId="0" xfId="0" applyAlignment="1" applyBorder="1" applyFont="1">
      <alignment vertical="bottom"/>
    </xf>
    <xf borderId="0" fillId="10" fontId="1" numFmtId="0" xfId="0" applyAlignment="1" applyFont="1">
      <alignment horizontal="center" vertical="bottom"/>
    </xf>
    <xf borderId="0" fillId="10" fontId="2" numFmtId="0" xfId="0" applyAlignment="1" applyFont="1">
      <alignment readingOrder="0"/>
    </xf>
    <xf borderId="0" fillId="10" fontId="1" numFmtId="0" xfId="0" applyAlignment="1" applyFont="1">
      <alignment vertical="bottom"/>
    </xf>
    <xf borderId="0" fillId="10" fontId="2" numFmtId="0" xfId="0" applyFont="1"/>
    <xf borderId="5" fillId="10" fontId="2" numFmtId="0" xfId="0" applyAlignment="1" applyBorder="1" applyFont="1">
      <alignment readingOrder="0"/>
    </xf>
    <xf borderId="5" fillId="10" fontId="2" numFmtId="0" xfId="0" applyBorder="1" applyFont="1"/>
    <xf borderId="6" fillId="10" fontId="1" numFmtId="0" xfId="0" applyAlignment="1" applyBorder="1" applyFont="1">
      <alignment vertical="bottom"/>
    </xf>
    <xf borderId="7" fillId="10" fontId="1" numFmtId="0" xfId="0" applyAlignment="1" applyBorder="1" applyFont="1">
      <alignment horizontal="center" vertical="bottom"/>
    </xf>
    <xf borderId="7" fillId="10" fontId="2" numFmtId="0" xfId="0" applyAlignment="1" applyBorder="1" applyFont="1">
      <alignment readingOrder="0"/>
    </xf>
    <xf borderId="7" fillId="10" fontId="1" numFmtId="0" xfId="0" applyAlignment="1" applyBorder="1" applyFont="1">
      <alignment vertical="bottom"/>
    </xf>
    <xf borderId="7" fillId="10" fontId="2" numFmtId="0" xfId="0" applyBorder="1" applyFont="1"/>
    <xf borderId="8" fillId="10" fontId="2" numFmtId="0" xfId="0" applyAlignment="1" applyBorder="1" applyFont="1">
      <alignment readingOrder="0"/>
    </xf>
    <xf borderId="8" fillId="10" fontId="2" numFmtId="0" xfId="0" applyBorder="1" applyFont="1"/>
    <xf borderId="1" fillId="11" fontId="1" numFmtId="0" xfId="0" applyAlignment="1" applyBorder="1" applyFill="1" applyFont="1">
      <alignment vertical="bottom"/>
    </xf>
    <xf borderId="2" fillId="11" fontId="1" numFmtId="0" xfId="0" applyAlignment="1" applyBorder="1" applyFont="1">
      <alignment horizontal="center" vertical="bottom"/>
    </xf>
    <xf borderId="2" fillId="11" fontId="2" numFmtId="0" xfId="0" applyAlignment="1" applyBorder="1" applyFont="1">
      <alignment readingOrder="0"/>
    </xf>
    <xf borderId="2" fillId="11" fontId="1" numFmtId="0" xfId="0" applyAlignment="1" applyBorder="1" applyFont="1">
      <alignment vertical="bottom"/>
    </xf>
    <xf borderId="2" fillId="11" fontId="2" numFmtId="0" xfId="0" applyBorder="1" applyFont="1"/>
    <xf borderId="3" fillId="11" fontId="2" numFmtId="0" xfId="0" applyAlignment="1" applyBorder="1" applyFont="1">
      <alignment readingOrder="0"/>
    </xf>
    <xf borderId="3" fillId="11" fontId="2" numFmtId="0" xfId="0" applyBorder="1" applyFont="1"/>
    <xf borderId="4" fillId="11" fontId="1" numFmtId="0" xfId="0" applyAlignment="1" applyBorder="1" applyFont="1">
      <alignment vertical="bottom"/>
    </xf>
    <xf borderId="0" fillId="11" fontId="1" numFmtId="0" xfId="0" applyAlignment="1" applyFont="1">
      <alignment horizontal="center" vertical="bottom"/>
    </xf>
    <xf borderId="0" fillId="11" fontId="2" numFmtId="0" xfId="0" applyAlignment="1" applyFont="1">
      <alignment readingOrder="0"/>
    </xf>
    <xf borderId="0" fillId="11" fontId="1" numFmtId="0" xfId="0" applyAlignment="1" applyFont="1">
      <alignment vertical="bottom"/>
    </xf>
    <xf borderId="0" fillId="11" fontId="2" numFmtId="0" xfId="0" applyFont="1"/>
    <xf borderId="5" fillId="11" fontId="2" numFmtId="0" xfId="0" applyAlignment="1" applyBorder="1" applyFont="1">
      <alignment readingOrder="0"/>
    </xf>
    <xf borderId="5" fillId="11" fontId="2" numFmtId="0" xfId="0" applyBorder="1" applyFont="1"/>
    <xf borderId="7" fillId="11" fontId="1" numFmtId="0" xfId="0" applyAlignment="1" applyBorder="1" applyFont="1">
      <alignment vertical="bottom"/>
    </xf>
    <xf borderId="7" fillId="11" fontId="1" numFmtId="0" xfId="0" applyAlignment="1" applyBorder="1" applyFont="1">
      <alignment horizontal="center" vertical="bottom"/>
    </xf>
    <xf borderId="7" fillId="11" fontId="2" numFmtId="0" xfId="0" applyAlignment="1" applyBorder="1" applyFont="1">
      <alignment readingOrder="0"/>
    </xf>
    <xf borderId="7" fillId="11" fontId="2" numFmtId="0" xfId="0" applyBorder="1" applyFont="1"/>
    <xf borderId="12" fillId="11" fontId="2" numFmtId="0" xfId="0" applyBorder="1" applyFont="1"/>
    <xf borderId="4" fillId="2" fontId="1" numFmtId="0" xfId="0" applyAlignment="1" applyBorder="1" applyFont="1">
      <alignment readingOrder="0" vertical="bottom"/>
    </xf>
    <xf borderId="0" fillId="2" fontId="2" numFmtId="0" xfId="0" applyFont="1"/>
    <xf borderId="6" fillId="2" fontId="1" numFmtId="0" xfId="0" applyAlignment="1" applyBorder="1" applyFont="1">
      <alignment vertical="bottom"/>
    </xf>
    <xf borderId="7" fillId="2" fontId="1" numFmtId="0" xfId="0" applyAlignment="1" applyBorder="1" applyFont="1">
      <alignment horizontal="center" vertical="bottom"/>
    </xf>
    <xf borderId="7" fillId="2" fontId="2" numFmtId="0" xfId="0" applyAlignment="1" applyBorder="1" applyFont="1">
      <alignment readingOrder="0"/>
    </xf>
    <xf borderId="7" fillId="2" fontId="1" numFmtId="0" xfId="0" applyAlignment="1" applyBorder="1" applyFont="1">
      <alignment vertical="bottom"/>
    </xf>
    <xf borderId="7" fillId="2" fontId="2" numFmtId="0" xfId="0" applyBorder="1" applyFont="1"/>
    <xf borderId="8" fillId="2" fontId="2" numFmtId="0" xfId="0" applyAlignment="1" applyBorder="1" applyFont="1">
      <alignment readingOrder="0"/>
    </xf>
    <xf borderId="8" fillId="2" fontId="2" numFmtId="0" xfId="0" applyBorder="1" applyFont="1"/>
    <xf borderId="13" fillId="0" fontId="4" numFmtId="0" xfId="0" applyAlignment="1" applyBorder="1" applyFont="1">
      <alignment horizontal="center" readingOrder="0"/>
    </xf>
    <xf borderId="14" fillId="0" fontId="5" numFmtId="0" xfId="0" applyBorder="1" applyFont="1"/>
    <xf borderId="14" fillId="0" fontId="4" numFmtId="0" xfId="0" applyAlignment="1" applyBorder="1" applyFont="1">
      <alignment horizontal="center" readingOrder="0"/>
    </xf>
    <xf borderId="15" fillId="0" fontId="4" numFmtId="0" xfId="0" applyAlignment="1" applyBorder="1" applyFont="1">
      <alignment horizontal="center" readingOrder="0"/>
    </xf>
    <xf borderId="16" fillId="0" fontId="2" numFmtId="0" xfId="0" applyBorder="1" applyFont="1"/>
    <xf borderId="17" fillId="0" fontId="2" numFmtId="0" xfId="0" applyBorder="1" applyFont="1"/>
    <xf borderId="16" fillId="0" fontId="4" numFmtId="49" xfId="0" applyAlignment="1" applyBorder="1" applyFont="1" applyNumberFormat="1">
      <alignment horizontal="center" readingOrder="0"/>
    </xf>
    <xf borderId="0" fillId="0" fontId="1" numFmtId="0" xfId="0" applyAlignment="1" applyFont="1">
      <alignment horizontal="center" readingOrder="0" vertical="bottom"/>
    </xf>
    <xf borderId="17" fillId="0" fontId="2" numFmtId="0" xfId="0" applyAlignment="1" applyBorder="1" applyFont="1">
      <alignment readingOrder="0"/>
    </xf>
    <xf borderId="0" fillId="0" fontId="1" numFmtId="0" xfId="0" applyAlignment="1" applyFont="1">
      <alignment horizontal="left" readingOrder="0" vertical="bottom"/>
    </xf>
    <xf borderId="18" fillId="0" fontId="4" numFmtId="49" xfId="0" applyAlignment="1" applyBorder="1" applyFont="1" applyNumberFormat="1">
      <alignment horizontal="center" readingOrder="0"/>
    </xf>
    <xf borderId="19" fillId="0" fontId="5" numFmtId="0" xfId="0" applyBorder="1" applyFont="1"/>
    <xf borderId="19" fillId="0" fontId="1" numFmtId="0" xfId="0" applyAlignment="1" applyBorder="1" applyFont="1">
      <alignment horizontal="left" readingOrder="0" vertical="bottom"/>
    </xf>
    <xf borderId="20" fillId="0" fontId="2" numFmtId="0" xfId="0" applyAlignment="1" applyBorder="1" applyFont="1">
      <alignment readingOrder="0"/>
    </xf>
    <xf borderId="21" fillId="12" fontId="6" numFmtId="0" xfId="0" applyAlignment="1" applyBorder="1" applyFill="1" applyFont="1">
      <alignment horizontal="center" readingOrder="0"/>
    </xf>
    <xf borderId="22" fillId="12" fontId="6" numFmtId="0" xfId="0" applyAlignment="1" applyBorder="1" applyFont="1">
      <alignment horizontal="center" readingOrder="0"/>
    </xf>
    <xf borderId="22" fillId="12" fontId="2" numFmtId="0" xfId="0" applyBorder="1" applyFont="1"/>
    <xf borderId="23" fillId="12" fontId="2" numFmtId="0" xfId="0" applyBorder="1" applyFont="1"/>
    <xf borderId="24" fillId="12" fontId="2" numFmtId="0" xfId="0" applyAlignment="1" applyBorder="1" applyFont="1">
      <alignment readingOrder="0"/>
    </xf>
    <xf borderId="0" fillId="12" fontId="2" numFmtId="0" xfId="0" applyFont="1"/>
    <xf borderId="25" fillId="12" fontId="2" numFmtId="0" xfId="0" applyBorder="1" applyFont="1"/>
    <xf borderId="24" fillId="12" fontId="7" numFmtId="0" xfId="0" applyAlignment="1" applyBorder="1" applyFont="1">
      <alignment readingOrder="0"/>
    </xf>
    <xf borderId="0" fillId="12" fontId="2" numFmtId="0" xfId="0" applyAlignment="1" applyFont="1">
      <alignment readingOrder="0"/>
    </xf>
    <xf borderId="24" fillId="13" fontId="8" numFmtId="0" xfId="0" applyAlignment="1" applyBorder="1" applyFill="1" applyFont="1">
      <alignment horizontal="center" readingOrder="0" shrinkToFit="0" vertical="center" wrapText="1"/>
    </xf>
    <xf borderId="0" fillId="13" fontId="3" numFmtId="0" xfId="0" applyAlignment="1" applyFont="1">
      <alignment horizontal="center" readingOrder="0"/>
    </xf>
    <xf borderId="0" fillId="13" fontId="2" numFmtId="0" xfId="0" applyFont="1"/>
    <xf borderId="25" fillId="13" fontId="2" numFmtId="0" xfId="0" applyBorder="1" applyFont="1"/>
    <xf borderId="24" fillId="0" fontId="5" numFmtId="0" xfId="0" applyBorder="1" applyFont="1"/>
    <xf borderId="0" fillId="3" fontId="2" numFmtId="0" xfId="0" applyFont="1"/>
    <xf borderId="0" fillId="5" fontId="2" numFmtId="0" xfId="0" applyFont="1"/>
    <xf borderId="0" fillId="7" fontId="2" numFmtId="0" xfId="0" applyFont="1"/>
    <xf borderId="0" fillId="8" fontId="2" numFmtId="0" xfId="0" applyFont="1"/>
    <xf borderId="26" fillId="0" fontId="5" numFmtId="0" xfId="0" applyBorder="1" applyFont="1"/>
    <xf borderId="27" fillId="0" fontId="5" numFmtId="0" xfId="0" applyBorder="1" applyFont="1"/>
    <xf borderId="27" fillId="8" fontId="2" numFmtId="0" xfId="0" applyBorder="1" applyFont="1"/>
    <xf borderId="27" fillId="13" fontId="2" numFmtId="0" xfId="0" applyBorder="1" applyFont="1"/>
    <xf borderId="28" fillId="13" fontId="2" numFmtId="0" xfId="0" applyBorder="1" applyFont="1"/>
    <xf borderId="0" fillId="14" fontId="2" numFmtId="0" xfId="0" applyAlignment="1" applyFill="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17" fontId="2" numFmtId="0" xfId="0" applyAlignment="1" applyFill="1" applyFont="1">
      <alignment readingOrder="0"/>
    </xf>
    <xf borderId="0" fillId="17" fontId="2" numFmtId="0" xfId="0" applyFont="1"/>
    <xf borderId="0" fillId="18" fontId="9" numFmtId="0" xfId="0" applyAlignment="1" applyFill="1" applyFont="1">
      <alignment readingOrder="0"/>
    </xf>
    <xf borderId="0" fillId="0" fontId="10" numFmtId="0" xfId="0" applyAlignment="1" applyFont="1">
      <alignment horizontal="center" readingOrder="0"/>
    </xf>
    <xf borderId="0" fillId="0" fontId="11" numFmtId="0" xfId="0" applyAlignment="1" applyFont="1">
      <alignment horizontal="center" readingOrder="0"/>
    </xf>
    <xf borderId="0" fillId="0" fontId="12" numFmtId="0" xfId="0" applyAlignment="1" applyFont="1">
      <alignment horizontal="center" readingOrder="0"/>
    </xf>
    <xf borderId="0" fillId="0" fontId="13" numFmtId="0" xfId="0" applyAlignment="1" applyFont="1">
      <alignment horizontal="center" readingOrder="0"/>
    </xf>
    <xf borderId="29" fillId="0" fontId="13" numFmtId="0" xfId="0" applyAlignment="1" applyBorder="1" applyFont="1">
      <alignment horizontal="center" vertical="top"/>
    </xf>
    <xf borderId="0" fillId="0" fontId="14" numFmtId="0" xfId="0" applyFont="1"/>
    <xf borderId="30" fillId="0" fontId="15" numFmtId="0" xfId="0" applyAlignment="1" applyBorder="1" applyFont="1">
      <alignment horizontal="center" readingOrder="0" vertical="center"/>
    </xf>
    <xf borderId="0" fillId="0" fontId="15" numFmtId="0" xfId="0" applyAlignment="1" applyFont="1">
      <alignment horizontal="center" readingOrder="0" vertical="center"/>
    </xf>
    <xf borderId="0" fillId="0" fontId="16" numFmtId="0" xfId="0" applyAlignment="1" applyFont="1">
      <alignment horizontal="center" vertical="center"/>
    </xf>
    <xf borderId="0" fillId="11" fontId="17" numFmtId="0" xfId="0" applyAlignment="1" applyFont="1">
      <alignment horizontal="center" readingOrder="0" vertical="center"/>
    </xf>
    <xf borderId="0" fillId="11" fontId="17" numFmtId="0" xfId="0" applyAlignment="1" applyFont="1">
      <alignment horizontal="center" vertical="bottom"/>
    </xf>
    <xf borderId="0" fillId="11" fontId="1" numFmtId="0" xfId="0" applyAlignment="1" applyFont="1">
      <alignment readingOrder="0" vertical="bottom"/>
    </xf>
    <xf borderId="31" fillId="11" fontId="18" numFmtId="0" xfId="0" applyAlignment="1" applyBorder="1" applyFont="1">
      <alignment horizontal="left" readingOrder="0"/>
    </xf>
    <xf borderId="0" fillId="0" fontId="18" numFmtId="0" xfId="0" applyAlignment="1" applyFont="1">
      <alignment vertical="bottom"/>
    </xf>
    <xf borderId="30" fillId="0" fontId="5" numFmtId="0" xfId="0" applyBorder="1" applyFont="1"/>
    <xf borderId="0" fillId="11" fontId="17" numFmtId="0" xfId="0" applyAlignment="1" applyFont="1">
      <alignment horizontal="center" vertical="center"/>
    </xf>
    <xf borderId="0" fillId="11" fontId="19" numFmtId="0" xfId="0" applyAlignment="1" applyFont="1">
      <alignment vertical="bottom"/>
    </xf>
    <xf borderId="0" fillId="0" fontId="17" numFmtId="0" xfId="0" applyAlignment="1" applyFont="1">
      <alignment horizontal="center" readingOrder="0" vertical="center"/>
    </xf>
    <xf borderId="0" fillId="0" fontId="2" numFmtId="0" xfId="0" applyAlignment="1" applyFont="1">
      <alignment horizontal="center"/>
    </xf>
    <xf borderId="0" fillId="0" fontId="2" numFmtId="0" xfId="0" applyFont="1"/>
    <xf borderId="0" fillId="0" fontId="20" numFmtId="0" xfId="0" applyAlignment="1" applyFont="1">
      <alignment readingOrder="0"/>
    </xf>
    <xf borderId="31" fillId="0" fontId="18" numFmtId="0" xfId="0" applyAlignment="1" applyBorder="1" applyFont="1">
      <alignment horizontal="left" vertical="bottom"/>
    </xf>
    <xf borderId="0" fillId="0" fontId="21" numFmtId="0" xfId="0" applyAlignment="1" applyFont="1">
      <alignment horizontal="center" readingOrder="0"/>
    </xf>
    <xf borderId="0" fillId="0" fontId="17" numFmtId="0" xfId="0" applyAlignment="1" applyFont="1">
      <alignment horizontal="center"/>
    </xf>
    <xf borderId="0" fillId="0" fontId="17" numFmtId="0" xfId="0" applyFont="1"/>
    <xf borderId="32" fillId="0" fontId="5" numFmtId="0" xfId="0" applyBorder="1" applyFont="1"/>
    <xf borderId="33" fillId="0" fontId="5" numFmtId="0" xfId="0" applyBorder="1" applyFont="1"/>
    <xf borderId="34" fillId="0" fontId="22" numFmtId="0" xfId="0" applyAlignment="1" applyBorder="1" applyFont="1">
      <alignment horizontal="center" readingOrder="0" vertical="center"/>
    </xf>
    <xf borderId="9" fillId="0" fontId="22" numFmtId="0" xfId="0" applyAlignment="1" applyBorder="1" applyFont="1">
      <alignment horizontal="center" readingOrder="0" vertical="center"/>
    </xf>
    <xf borderId="9" fillId="19" fontId="23" numFmtId="0" xfId="0" applyAlignment="1" applyBorder="1" applyFill="1" applyFont="1">
      <alignment horizontal="center" vertical="center"/>
    </xf>
    <xf borderId="9" fillId="0" fontId="17" numFmtId="0" xfId="0" applyAlignment="1" applyBorder="1" applyFont="1">
      <alignment horizontal="center" readingOrder="0" vertical="center"/>
    </xf>
    <xf borderId="9" fillId="0" fontId="17" numFmtId="0" xfId="0" applyAlignment="1" applyBorder="1" applyFont="1">
      <alignment horizontal="center" vertical="center"/>
    </xf>
    <xf borderId="9" fillId="0" fontId="20" numFmtId="0" xfId="0" applyAlignment="1" applyBorder="1" applyFont="1">
      <alignment horizontal="left" readingOrder="0" vertical="center"/>
    </xf>
    <xf borderId="35" fillId="9" fontId="18" numFmtId="0" xfId="0" applyAlignment="1" applyBorder="1" applyFont="1">
      <alignment horizontal="left" readingOrder="0"/>
    </xf>
    <xf borderId="0" fillId="20" fontId="24" numFmtId="0" xfId="0" applyAlignment="1" applyFill="1" applyFont="1">
      <alignment horizontal="center"/>
    </xf>
    <xf borderId="0" fillId="20" fontId="24" numFmtId="0" xfId="0" applyAlignment="1" applyFont="1">
      <alignment horizontal="center" vertical="bottom"/>
    </xf>
    <xf borderId="0" fillId="20" fontId="1" numFmtId="0" xfId="0" applyAlignment="1" applyFont="1">
      <alignment vertical="bottom"/>
    </xf>
    <xf borderId="0" fillId="20" fontId="1" numFmtId="0" xfId="0" applyAlignment="1" applyFont="1">
      <alignment vertical="bottom"/>
    </xf>
    <xf borderId="31" fillId="20" fontId="18" numFmtId="0" xfId="0" applyAlignment="1" applyBorder="1" applyFont="1">
      <alignment vertical="bottom"/>
    </xf>
    <xf borderId="0" fillId="0" fontId="17" numFmtId="0" xfId="0" applyAlignment="1" applyFont="1">
      <alignment horizontal="center" vertical="bottom"/>
    </xf>
    <xf borderId="0" fillId="0" fontId="1" numFmtId="0" xfId="0" applyAlignment="1" applyFont="1">
      <alignment vertical="bottom"/>
    </xf>
    <xf borderId="0" fillId="0" fontId="19" numFmtId="0" xfId="0" applyAlignment="1" applyFont="1">
      <alignment vertical="bottom"/>
    </xf>
    <xf borderId="31" fillId="0" fontId="18" numFmtId="0" xfId="0" applyAlignment="1" applyBorder="1" applyFont="1">
      <alignment horizontal="left" readingOrder="0"/>
    </xf>
    <xf borderId="33" fillId="0" fontId="17" numFmtId="0" xfId="0" applyAlignment="1" applyBorder="1" applyFont="1">
      <alignment horizontal="center" readingOrder="0" vertical="center"/>
    </xf>
    <xf borderId="33" fillId="0" fontId="17" numFmtId="0" xfId="0" applyAlignment="1" applyBorder="1" applyFont="1">
      <alignment horizontal="center"/>
    </xf>
    <xf borderId="33" fillId="0" fontId="17" numFmtId="0" xfId="0" applyBorder="1" applyFont="1"/>
    <xf borderId="33" fillId="0" fontId="20" numFmtId="0" xfId="0" applyAlignment="1" applyBorder="1" applyFont="1">
      <alignment readingOrder="0"/>
    </xf>
    <xf borderId="36" fillId="0" fontId="18" numFmtId="0" xfId="0" applyAlignment="1" applyBorder="1" applyFont="1">
      <alignment horizontal="left" vertical="bottom"/>
    </xf>
    <xf borderId="9" fillId="0" fontId="16" numFmtId="0" xfId="0" applyAlignment="1" applyBorder="1" applyFont="1">
      <alignment horizontal="center" vertical="center"/>
    </xf>
    <xf borderId="9" fillId="0" fontId="17" numFmtId="0" xfId="0" applyAlignment="1" applyBorder="1" applyFont="1">
      <alignment horizontal="center"/>
    </xf>
    <xf borderId="9" fillId="0" fontId="17" numFmtId="0" xfId="0" applyBorder="1" applyFont="1"/>
    <xf borderId="9" fillId="0" fontId="20" numFmtId="0" xfId="0" applyAlignment="1" applyBorder="1" applyFont="1">
      <alignment readingOrder="0"/>
    </xf>
    <xf borderId="35" fillId="0" fontId="18" numFmtId="0" xfId="0" applyAlignment="1" applyBorder="1" applyFont="1">
      <alignment horizontal="left" vertical="bottom"/>
    </xf>
    <xf borderId="31" fillId="9" fontId="18" numFmtId="0" xfId="0" applyAlignment="1" applyBorder="1" applyFont="1">
      <alignment horizontal="left" readingOrder="0"/>
    </xf>
    <xf borderId="0" fillId="2" fontId="17" numFmtId="0" xfId="0" applyAlignment="1" applyFont="1">
      <alignment horizontal="center" vertical="center"/>
    </xf>
    <xf borderId="0" fillId="2" fontId="17" numFmtId="0" xfId="0" applyAlignment="1" applyFont="1">
      <alignment horizontal="center" vertical="bottom"/>
    </xf>
    <xf borderId="0" fillId="2" fontId="1" numFmtId="0" xfId="0" applyAlignment="1" applyFont="1">
      <alignment vertical="bottom"/>
    </xf>
    <xf borderId="0" fillId="2" fontId="19" numFmtId="0" xfId="0" applyAlignment="1" applyFont="1">
      <alignment vertical="bottom"/>
    </xf>
    <xf borderId="31" fillId="2" fontId="18" numFmtId="0" xfId="0" applyAlignment="1" applyBorder="1" applyFont="1">
      <alignment horizontal="left" readingOrder="0"/>
    </xf>
    <xf borderId="0" fillId="0" fontId="20" numFmtId="0" xfId="0" applyAlignment="1" applyFont="1">
      <alignment horizontal="left" readingOrder="0" vertical="center"/>
    </xf>
    <xf borderId="0" fillId="0" fontId="20" numFmtId="0" xfId="0" applyAlignment="1" applyFont="1">
      <alignment horizontal="left" readingOrder="0"/>
    </xf>
    <xf borderId="0" fillId="7" fontId="17" numFmtId="0" xfId="0" applyAlignment="1" applyFont="1">
      <alignment horizontal="center" vertical="bottom"/>
    </xf>
    <xf borderId="0" fillId="7" fontId="19" numFmtId="0" xfId="0" applyAlignment="1" applyFont="1">
      <alignment vertical="bottom"/>
    </xf>
    <xf borderId="31" fillId="7" fontId="18" numFmtId="0" xfId="0" applyAlignment="1" applyBorder="1" applyFont="1">
      <alignment horizontal="left" readingOrder="0"/>
    </xf>
    <xf borderId="0" fillId="7" fontId="17" numFmtId="0" xfId="0" applyAlignment="1" applyFont="1">
      <alignment horizontal="center" readingOrder="0" vertical="bottom"/>
    </xf>
    <xf borderId="33" fillId="0" fontId="17" numFmtId="0" xfId="0" applyAlignment="1" applyBorder="1" applyFont="1">
      <alignment horizontal="center" vertical="center"/>
    </xf>
    <xf borderId="33" fillId="0" fontId="20" numFmtId="0" xfId="0" applyAlignment="1" applyBorder="1" applyFont="1">
      <alignment horizontal="left" readingOrder="0" vertical="center"/>
    </xf>
    <xf borderId="36" fillId="9" fontId="18" numFmtId="0" xfId="0" applyAlignment="1" applyBorder="1" applyFont="1">
      <alignment horizontal="left" readingOrder="0"/>
    </xf>
    <xf borderId="34" fillId="0" fontId="25" numFmtId="0" xfId="0" applyAlignment="1" applyBorder="1" applyFont="1">
      <alignment horizontal="center" readingOrder="0" vertical="center"/>
    </xf>
    <xf borderId="9" fillId="0" fontId="15" numFmtId="0" xfId="0" applyAlignment="1" applyBorder="1" applyFont="1">
      <alignment horizontal="center" readingOrder="0" vertical="center"/>
    </xf>
    <xf borderId="9" fillId="0" fontId="17" numFmtId="0" xfId="0" applyAlignment="1" applyBorder="1" applyFont="1">
      <alignment horizontal="center" readingOrder="0"/>
    </xf>
    <xf borderId="9" fillId="0" fontId="2" numFmtId="0" xfId="0" applyBorder="1" applyFont="1"/>
    <xf borderId="0" fillId="0" fontId="17" numFmtId="0" xfId="0" applyAlignment="1" applyFont="1">
      <alignment horizontal="center" vertical="center"/>
    </xf>
    <xf borderId="31" fillId="7" fontId="2" numFmtId="0" xfId="0" applyAlignment="1" applyBorder="1" applyFont="1">
      <alignment readingOrder="0"/>
    </xf>
    <xf borderId="33" fillId="0" fontId="2" numFmtId="0" xfId="0" applyAlignment="1" applyBorder="1" applyFont="1">
      <alignment horizontal="center" vertical="center"/>
    </xf>
    <xf borderId="9" fillId="0" fontId="18" numFmtId="0" xfId="0" applyAlignment="1" applyBorder="1" applyFont="1">
      <alignment horizontal="left" vertical="bottom"/>
    </xf>
    <xf borderId="30" fillId="0" fontId="2" numFmtId="0" xfId="0" applyBorder="1" applyFont="1"/>
    <xf borderId="0" fillId="0" fontId="18" numFmtId="0" xfId="0" applyAlignment="1" applyFont="1">
      <alignment horizontal="left" vertical="bottom"/>
    </xf>
    <xf borderId="0" fillId="11" fontId="18" numFmtId="0" xfId="0" applyAlignment="1" applyFont="1">
      <alignment horizontal="left" readingOrder="0"/>
    </xf>
    <xf borderId="0" fillId="2" fontId="18" numFmtId="0" xfId="0" applyAlignment="1" applyFont="1">
      <alignment horizontal="left" readingOrder="0"/>
    </xf>
    <xf borderId="33" fillId="0" fontId="17" numFmtId="0" xfId="0" applyAlignment="1" applyBorder="1" applyFont="1">
      <alignment horizontal="center" readingOrder="0"/>
    </xf>
    <xf borderId="33" fillId="0" fontId="2" numFmtId="0" xfId="0" applyAlignment="1" applyBorder="1" applyFont="1">
      <alignment horizontal="center"/>
    </xf>
    <xf borderId="33" fillId="0" fontId="2" numFmtId="0" xfId="0" applyBorder="1" applyFont="1"/>
    <xf borderId="33" fillId="0" fontId="18" numFmtId="0" xfId="0" applyAlignment="1" applyBorder="1" applyFont="1">
      <alignment horizontal="left" vertical="bottom"/>
    </xf>
    <xf borderId="9" fillId="0" fontId="26" numFmtId="0" xfId="0" applyAlignment="1" applyBorder="1" applyFont="1">
      <alignment horizontal="center" readingOrder="0" vertical="center"/>
    </xf>
    <xf borderId="9" fillId="7" fontId="17" numFmtId="0" xfId="0" applyAlignment="1" applyBorder="1" applyFont="1">
      <alignment horizontal="center" readingOrder="0" vertical="bottom"/>
    </xf>
    <xf borderId="35" fillId="7" fontId="2" numFmtId="0" xfId="0" applyAlignment="1" applyBorder="1" applyFont="1">
      <alignment readingOrder="0"/>
    </xf>
    <xf borderId="0" fillId="8" fontId="17" numFmtId="0" xfId="0" applyAlignment="1" applyFont="1">
      <alignment horizontal="center" vertical="center"/>
    </xf>
    <xf borderId="0" fillId="8" fontId="17" numFmtId="0" xfId="0" applyAlignment="1" applyFont="1">
      <alignment horizontal="center" vertical="bottom"/>
    </xf>
    <xf borderId="0" fillId="8" fontId="2" numFmtId="0" xfId="0" applyAlignment="1" applyFont="1">
      <alignment readingOrder="0"/>
    </xf>
    <xf borderId="0" fillId="8" fontId="1" numFmtId="0" xfId="0" applyAlignment="1" applyFont="1">
      <alignment vertical="bottom"/>
    </xf>
    <xf borderId="31" fillId="8" fontId="18" numFmtId="0" xfId="0" applyAlignment="1" applyBorder="1" applyFont="1">
      <alignment horizontal="left" readingOrder="0"/>
    </xf>
    <xf borderId="30" fillId="0" fontId="22" numFmtId="0" xfId="0" applyAlignment="1" applyBorder="1" applyFont="1">
      <alignment horizontal="center" readingOrder="0" vertical="center"/>
    </xf>
    <xf borderId="0" fillId="0" fontId="22" numFmtId="0" xfId="0" applyAlignment="1" applyFont="1">
      <alignment horizontal="center" readingOrder="0" vertical="center"/>
    </xf>
    <xf borderId="34" fillId="0" fontId="15" numFmtId="0" xfId="0" applyAlignment="1" applyBorder="1" applyFont="1">
      <alignment horizontal="center" readingOrder="0" vertical="center"/>
    </xf>
    <xf borderId="9" fillId="0" fontId="25" numFmtId="0" xfId="0" applyAlignment="1" applyBorder="1" applyFont="1">
      <alignment horizontal="center" readingOrder="0" vertical="center"/>
    </xf>
    <xf borderId="9" fillId="0" fontId="2" numFmtId="0" xfId="0" applyAlignment="1" applyBorder="1" applyFont="1">
      <alignment horizontal="center"/>
    </xf>
    <xf borderId="31" fillId="0" fontId="5" numFmtId="0" xfId="0" applyBorder="1" applyFont="1"/>
    <xf borderId="9" fillId="0" fontId="1" numFmtId="0" xfId="0" applyAlignment="1" applyBorder="1" applyFont="1">
      <alignment vertical="bottom"/>
    </xf>
    <xf borderId="9" fillId="0" fontId="19" numFmtId="0" xfId="0" applyAlignment="1" applyBorder="1" applyFont="1">
      <alignment vertical="bottom"/>
    </xf>
    <xf borderId="0" fillId="5" fontId="17" numFmtId="0" xfId="0" applyAlignment="1" applyFont="1">
      <alignment horizontal="center" vertical="center"/>
    </xf>
    <xf borderId="0" fillId="5" fontId="17" numFmtId="0" xfId="0" applyAlignment="1" applyFont="1">
      <alignment horizontal="center" vertical="bottom"/>
    </xf>
    <xf borderId="31" fillId="5" fontId="18" numFmtId="0" xfId="0" applyAlignment="1" applyBorder="1" applyFont="1">
      <alignment horizontal="left" readingOrder="0"/>
    </xf>
    <xf borderId="33" fillId="9" fontId="24" numFmtId="0" xfId="0" applyAlignment="1" applyBorder="1" applyFont="1">
      <alignment horizontal="center" readingOrder="0" vertical="bottom"/>
    </xf>
    <xf borderId="33" fillId="9" fontId="24" numFmtId="0" xfId="0" applyAlignment="1" applyBorder="1" applyFont="1">
      <alignment horizontal="center" vertical="bottom"/>
    </xf>
    <xf borderId="33" fillId="9" fontId="1" numFmtId="0" xfId="0" applyAlignment="1" applyBorder="1" applyFont="1">
      <alignment vertical="bottom"/>
    </xf>
    <xf borderId="33" fillId="9" fontId="1" numFmtId="0" xfId="0" applyAlignment="1" applyBorder="1" applyFont="1">
      <alignment readingOrder="0" vertical="bottom"/>
    </xf>
    <xf borderId="9" fillId="0" fontId="26" numFmtId="0" xfId="0" applyAlignment="1" applyBorder="1" applyFont="1">
      <alignment horizontal="center" readingOrder="0" shrinkToFit="0" vertical="center" wrapText="0"/>
    </xf>
    <xf borderId="36" fillId="9" fontId="1" numFmtId="0" xfId="0" applyAlignment="1" applyBorder="1" applyFont="1">
      <alignment vertical="bottom"/>
    </xf>
    <xf borderId="34" fillId="18" fontId="27" numFmtId="0" xfId="0" applyAlignment="1" applyBorder="1" applyFont="1">
      <alignment horizontal="center" readingOrder="0" vertical="center"/>
    </xf>
    <xf borderId="9" fillId="0" fontId="5" numFmtId="0" xfId="0" applyBorder="1" applyFont="1"/>
    <xf borderId="0" fillId="18" fontId="28" numFmtId="0" xfId="0" applyAlignment="1" applyFont="1">
      <alignment vertical="center"/>
    </xf>
    <xf borderId="35" fillId="18" fontId="29" numFmtId="0" xfId="0" applyAlignment="1" applyBorder="1" applyFont="1">
      <alignment horizontal="left" vertical="center"/>
    </xf>
    <xf borderId="0" fillId="21" fontId="1" numFmtId="0" xfId="0" applyAlignment="1" applyFill="1" applyFont="1">
      <alignment vertical="bottom"/>
    </xf>
    <xf borderId="34" fillId="0" fontId="30" numFmtId="0" xfId="0" applyAlignment="1" applyBorder="1" applyFont="1">
      <alignment horizontal="center" readingOrder="0" vertical="center"/>
    </xf>
    <xf borderId="9" fillId="0" fontId="30" numFmtId="0" xfId="0" applyAlignment="1" applyBorder="1" applyFont="1">
      <alignment horizontal="center" readingOrder="0" vertical="center"/>
    </xf>
    <xf borderId="9" fillId="0" fontId="20" numFmtId="0" xfId="0" applyAlignment="1" applyBorder="1" applyFont="1">
      <alignment readingOrder="0" shrinkToFit="0" wrapText="0"/>
    </xf>
    <xf borderId="0" fillId="0" fontId="31" numFmtId="0" xfId="0" applyAlignment="1" applyFont="1">
      <alignment horizontal="center" readingOrder="0" vertical="center"/>
    </xf>
    <xf borderId="0" fillId="0" fontId="2" numFmtId="0" xfId="0" applyAlignment="1" applyFont="1">
      <alignment horizontal="center" readingOrder="0" vertical="center"/>
    </xf>
    <xf borderId="0" fillId="4" fontId="17" numFmtId="0" xfId="0" applyAlignment="1" applyFont="1">
      <alignment horizontal="center" readingOrder="0" vertical="bottom"/>
    </xf>
    <xf borderId="0" fillId="4" fontId="19" numFmtId="0" xfId="0" applyAlignment="1" applyFont="1">
      <alignment readingOrder="0" vertical="bottom"/>
    </xf>
    <xf borderId="31" fillId="4" fontId="18" numFmtId="0" xfId="0" applyAlignment="1" applyBorder="1" applyFont="1">
      <alignment horizontal="left" readingOrder="0"/>
    </xf>
    <xf borderId="0" fillId="0" fontId="21" numFmtId="0" xfId="0" applyAlignment="1" applyFont="1">
      <alignment horizontal="left" readingOrder="0"/>
    </xf>
    <xf borderId="0" fillId="0" fontId="17" numFmtId="0" xfId="0" applyAlignment="1" applyFont="1">
      <alignment horizontal="center" readingOrder="0"/>
    </xf>
    <xf borderId="0" fillId="9" fontId="24" numFmtId="0" xfId="0" applyAlignment="1" applyFont="1">
      <alignment horizontal="center" vertical="bottom"/>
    </xf>
    <xf borderId="0" fillId="9" fontId="1" numFmtId="0" xfId="0" applyAlignment="1" applyFont="1">
      <alignment vertical="bottom"/>
    </xf>
    <xf borderId="31" fillId="9" fontId="1" numFmtId="0" xfId="0" applyAlignment="1" applyBorder="1" applyFont="1">
      <alignment vertical="bottom"/>
    </xf>
    <xf borderId="0" fillId="4" fontId="17" numFmtId="0" xfId="0" applyAlignment="1" applyFont="1">
      <alignment horizontal="center" vertical="center"/>
    </xf>
    <xf borderId="0" fillId="4" fontId="17" numFmtId="0" xfId="0" applyAlignment="1" applyFont="1">
      <alignment horizontal="center" vertical="bottom"/>
    </xf>
    <xf borderId="0" fillId="4" fontId="19" numFmtId="0" xfId="0" applyAlignment="1" applyFont="1">
      <alignment vertical="bottom"/>
    </xf>
    <xf borderId="0" fillId="0" fontId="2" numFmtId="0" xfId="0" applyAlignment="1" applyFont="1">
      <alignment horizontal="center" vertical="center"/>
    </xf>
    <xf borderId="33" fillId="0" fontId="21" numFmtId="0" xfId="0" applyAlignment="1" applyBorder="1" applyFont="1">
      <alignment horizontal="center" readingOrder="0"/>
    </xf>
    <xf borderId="34" fillId="21" fontId="25" numFmtId="0" xfId="0" applyAlignment="1" applyBorder="1" applyFont="1">
      <alignment horizontal="center" readingOrder="0" vertical="center"/>
    </xf>
    <xf borderId="9" fillId="0" fontId="22" numFmtId="0" xfId="0" applyAlignment="1" applyBorder="1" applyFont="1">
      <alignment horizontal="center" readingOrder="0" vertical="center"/>
    </xf>
    <xf borderId="31" fillId="0" fontId="18" numFmtId="0" xfId="0" applyAlignment="1" applyBorder="1" applyFont="1">
      <alignment horizontal="left" readingOrder="0" vertical="bottom"/>
    </xf>
    <xf borderId="0" fillId="0" fontId="20" numFmtId="0" xfId="0" applyFont="1"/>
    <xf borderId="9" fillId="0" fontId="31" numFmtId="0" xfId="0" applyAlignment="1" applyBorder="1" applyFont="1">
      <alignment horizontal="center" readingOrder="0" vertical="center"/>
    </xf>
    <xf borderId="9" fillId="0" fontId="2" numFmtId="0" xfId="0" applyAlignment="1" applyBorder="1" applyFont="1">
      <alignment horizontal="center" readingOrder="0" vertical="center"/>
    </xf>
    <xf borderId="33" fillId="0" fontId="1" numFmtId="0" xfId="0" applyAlignment="1" applyBorder="1" applyFont="1">
      <alignment vertical="bottom"/>
    </xf>
    <xf borderId="33" fillId="0" fontId="19" numFmtId="0" xfId="0" applyAlignment="1" applyBorder="1" applyFont="1">
      <alignment vertical="bottom"/>
    </xf>
    <xf borderId="9" fillId="0" fontId="21" numFmtId="0" xfId="0" applyAlignment="1" applyBorder="1" applyFont="1">
      <alignment horizontal="center" readingOrder="0"/>
    </xf>
    <xf borderId="34" fillId="0" fontId="15" numFmtId="0" xfId="0" applyAlignment="1" applyBorder="1" applyFont="1">
      <alignment horizontal="center" readingOrder="0" vertical="center"/>
    </xf>
    <xf borderId="9" fillId="0" fontId="15" numFmtId="0" xfId="0" applyAlignment="1" applyBorder="1" applyFont="1">
      <alignment horizontal="center" readingOrder="0" vertical="center"/>
    </xf>
    <xf borderId="0" fillId="0" fontId="17" numFmtId="0" xfId="0" applyAlignment="1" applyFont="1">
      <alignment horizontal="center" vertical="bottom"/>
    </xf>
    <xf borderId="0" fillId="0" fontId="1" numFmtId="0" xfId="0" applyAlignment="1" applyFont="1">
      <alignment vertical="bottom"/>
    </xf>
    <xf borderId="0" fillId="0" fontId="19" numFmtId="0" xfId="0" applyAlignment="1" applyFont="1">
      <alignment vertical="bottom"/>
    </xf>
    <xf borderId="0" fillId="6" fontId="17" numFmtId="0" xfId="0" applyAlignment="1" applyFont="1">
      <alignment horizontal="center" vertical="center"/>
    </xf>
    <xf borderId="0" fillId="6" fontId="2" numFmtId="0" xfId="0" applyAlignment="1" applyFont="1">
      <alignment horizontal="center" readingOrder="0" vertical="center"/>
    </xf>
    <xf borderId="0" fillId="6" fontId="1" numFmtId="0" xfId="0" applyAlignment="1" applyFont="1">
      <alignment horizontal="center" vertical="center"/>
    </xf>
    <xf borderId="0" fillId="6" fontId="2" numFmtId="0" xfId="0" applyAlignment="1" applyFont="1">
      <alignment horizontal="left" vertical="center"/>
    </xf>
    <xf borderId="31" fillId="6" fontId="2" numFmtId="0" xfId="0" applyAlignment="1" applyBorder="1" applyFont="1">
      <alignment readingOrder="0"/>
    </xf>
    <xf borderId="0" fillId="18" fontId="17" numFmtId="0" xfId="0" applyAlignment="1" applyFont="1">
      <alignment horizontal="center" readingOrder="0" vertical="center"/>
    </xf>
    <xf borderId="0" fillId="18" fontId="17" numFmtId="0" xfId="0" applyAlignment="1" applyFont="1">
      <alignment horizontal="center"/>
    </xf>
    <xf borderId="0" fillId="18" fontId="17" numFmtId="0" xfId="0" applyFont="1"/>
    <xf borderId="0" fillId="18" fontId="20" numFmtId="0" xfId="0" applyAlignment="1" applyFont="1">
      <alignment readingOrder="0"/>
    </xf>
    <xf borderId="31" fillId="18" fontId="18" numFmtId="0" xfId="0" applyAlignment="1" applyBorder="1" applyFont="1">
      <alignment horizontal="left" vertical="bottom"/>
    </xf>
    <xf borderId="34" fillId="18" fontId="22" numFmtId="0" xfId="0" applyAlignment="1" applyBorder="1" applyFont="1">
      <alignment horizontal="center" readingOrder="0" vertical="center"/>
    </xf>
    <xf borderId="9" fillId="18" fontId="15" numFmtId="0" xfId="0" applyAlignment="1" applyBorder="1" applyFont="1">
      <alignment horizontal="center" readingOrder="0" vertical="center"/>
    </xf>
    <xf borderId="33" fillId="0" fontId="20" numFmtId="0" xfId="0" applyAlignment="1" applyBorder="1" applyFont="1">
      <alignment readingOrder="0" shrinkToFit="0" wrapText="0"/>
    </xf>
    <xf borderId="0" fillId="0" fontId="31" numFmtId="0" xfId="0" applyAlignment="1" applyFont="1">
      <alignment horizontal="left" readingOrder="0"/>
    </xf>
    <xf borderId="33" fillId="0" fontId="17" numFmtId="0" xfId="0" applyAlignment="1" applyBorder="1" applyFont="1">
      <alignment horizontal="center" vertical="bottom"/>
    </xf>
    <xf borderId="33" fillId="0" fontId="2" numFmtId="0" xfId="0" applyAlignment="1" applyBorder="1" applyFont="1">
      <alignment readingOrder="0"/>
    </xf>
    <xf borderId="36" fillId="0" fontId="18" numFmtId="0" xfId="0" applyAlignment="1" applyBorder="1" applyFont="1">
      <alignment horizontal="left" readingOrder="0"/>
    </xf>
    <xf borderId="0" fillId="7" fontId="18" numFmtId="0" xfId="0" applyAlignment="1" applyFont="1">
      <alignment horizontal="left" readingOrder="0"/>
    </xf>
    <xf borderId="9" fillId="0" fontId="20" numFmtId="0" xfId="0" applyAlignment="1" applyBorder="1" applyFont="1">
      <alignment horizontal="center" readingOrder="0"/>
    </xf>
    <xf borderId="9" fillId="0" fontId="2" numFmtId="0" xfId="0" applyAlignment="1" applyBorder="1" applyFont="1">
      <alignment horizontal="center" readingOrder="0"/>
    </xf>
    <xf borderId="0" fillId="0" fontId="20" numFmtId="0" xfId="0" applyAlignment="1" applyFont="1">
      <alignment horizontal="center" readingOrder="0"/>
    </xf>
    <xf borderId="0" fillId="0" fontId="2" numFmtId="0" xfId="0" applyAlignment="1" applyFont="1">
      <alignment horizontal="center" readingOrder="0"/>
    </xf>
    <xf borderId="0" fillId="0" fontId="31" numFmtId="0" xfId="0" applyAlignment="1" applyFont="1">
      <alignment horizontal="center" readingOrder="0"/>
    </xf>
    <xf borderId="0" fillId="0" fontId="19" numFmtId="0" xfId="0" applyAlignment="1" applyFont="1">
      <alignment horizontal="center" readingOrder="0"/>
    </xf>
    <xf borderId="33" fillId="0" fontId="31" numFmtId="0" xfId="0" applyAlignment="1" applyBorder="1" applyFont="1">
      <alignment horizontal="center" readingOrder="0"/>
    </xf>
    <xf borderId="33" fillId="0" fontId="2" numFmtId="0" xfId="0" applyAlignment="1" applyBorder="1" applyFont="1">
      <alignment horizontal="center" readingOrder="0"/>
    </xf>
    <xf borderId="9" fillId="0" fontId="2" numFmtId="0" xfId="0" applyAlignment="1" applyBorder="1" applyFont="1">
      <alignment horizontal="center" vertical="center"/>
    </xf>
    <xf borderId="0" fillId="0" fontId="20" numFmtId="0" xfId="0" applyAlignment="1" applyFont="1">
      <alignment readingOrder="0" shrinkToFit="0" wrapText="0"/>
    </xf>
    <xf borderId="33" fillId="0" fontId="31" numFmtId="0" xfId="0" applyAlignment="1" applyBorder="1" applyFont="1">
      <alignment horizontal="center" readingOrder="0" vertical="center"/>
    </xf>
    <xf borderId="33" fillId="0" fontId="2" numFmtId="0" xfId="0" applyAlignment="1" applyBorder="1" applyFont="1">
      <alignment horizontal="center" readingOrder="0" vertical="center"/>
    </xf>
    <xf borderId="9" fillId="0" fontId="32" numFmtId="0" xfId="0" applyAlignment="1" applyBorder="1" applyFont="1">
      <alignment horizontal="center" readingOrder="0" shrinkToFit="0" vertical="center" wrapText="0"/>
    </xf>
    <xf borderId="0" fillId="18" fontId="2" numFmtId="0" xfId="0" applyAlignment="1" applyFont="1">
      <alignment horizontal="center" vertical="center"/>
    </xf>
    <xf borderId="0" fillId="18" fontId="20" numFmtId="0" xfId="0" applyAlignment="1" applyFont="1">
      <alignment horizontal="left" readingOrder="0" vertical="center"/>
    </xf>
    <xf borderId="34" fillId="0" fontId="33" numFmtId="0" xfId="0" applyAlignment="1" applyBorder="1" applyFont="1">
      <alignment horizontal="center" readingOrder="0" vertical="center"/>
    </xf>
    <xf borderId="0" fillId="0" fontId="19" numFmtId="0" xfId="0" applyAlignment="1" applyFont="1">
      <alignment readingOrder="0" vertical="bottom"/>
    </xf>
    <xf borderId="33" fillId="4" fontId="17" numFmtId="0" xfId="0" applyAlignment="1" applyBorder="1" applyFont="1">
      <alignment horizontal="center" vertical="center"/>
    </xf>
    <xf borderId="33" fillId="4" fontId="17" numFmtId="0" xfId="0" applyAlignment="1" applyBorder="1" applyFont="1">
      <alignment horizontal="center" vertical="bottom"/>
    </xf>
    <xf borderId="33" fillId="4" fontId="2" numFmtId="0" xfId="0" applyAlignment="1" applyBorder="1" applyFont="1">
      <alignment readingOrder="0"/>
    </xf>
    <xf borderId="33" fillId="4" fontId="1" numFmtId="0" xfId="0" applyAlignment="1" applyBorder="1" applyFont="1">
      <alignment vertical="bottom"/>
    </xf>
    <xf borderId="33" fillId="4" fontId="19" numFmtId="0" xfId="0" applyAlignment="1" applyBorder="1" applyFont="1">
      <alignment vertical="bottom"/>
    </xf>
    <xf borderId="36" fillId="4" fontId="18" numFmtId="0" xfId="0" applyAlignment="1" applyBorder="1" applyFont="1">
      <alignment horizontal="left" readingOrder="0"/>
    </xf>
    <xf borderId="9" fillId="22" fontId="24" numFmtId="0" xfId="0" applyAlignment="1" applyBorder="1" applyFill="1" applyFont="1">
      <alignment horizontal="center"/>
    </xf>
    <xf borderId="9" fillId="22" fontId="1" numFmtId="0" xfId="0" applyAlignment="1" applyBorder="1" applyFont="1">
      <alignment vertical="bottom"/>
    </xf>
    <xf borderId="35" fillId="22" fontId="18" numFmtId="0" xfId="0" applyAlignment="1" applyBorder="1" applyFont="1">
      <alignment vertical="bottom"/>
    </xf>
    <xf borderId="9" fillId="23" fontId="24" numFmtId="0" xfId="0" applyAlignment="1" applyBorder="1" applyFill="1" applyFont="1">
      <alignment horizontal="center"/>
    </xf>
    <xf borderId="9" fillId="23" fontId="24" numFmtId="0" xfId="0" applyAlignment="1" applyBorder="1" applyFont="1">
      <alignment horizontal="center" vertical="bottom"/>
    </xf>
    <xf borderId="9" fillId="23" fontId="1" numFmtId="0" xfId="0" applyAlignment="1" applyBorder="1" applyFont="1">
      <alignment vertical="bottom"/>
    </xf>
    <xf borderId="35" fillId="23" fontId="18" numFmtId="0" xfId="0" applyAlignment="1" applyBorder="1" applyFont="1">
      <alignment vertical="bottom"/>
    </xf>
    <xf borderId="35" fillId="5" fontId="18" numFmtId="0" xfId="0" applyAlignment="1" applyBorder="1" applyFont="1">
      <alignment horizontal="left" readingOrder="0"/>
    </xf>
    <xf borderId="0" fillId="23" fontId="24" numFmtId="0" xfId="0" applyAlignment="1" applyFont="1">
      <alignment horizontal="center"/>
    </xf>
    <xf borderId="0" fillId="23" fontId="24" numFmtId="0" xfId="0" applyAlignment="1" applyFont="1">
      <alignment horizontal="center" vertical="bottom"/>
    </xf>
    <xf borderId="0" fillId="23" fontId="1" numFmtId="0" xfId="0" applyAlignment="1" applyFont="1">
      <alignment vertical="bottom"/>
    </xf>
    <xf borderId="31" fillId="23" fontId="18" numFmtId="0" xfId="0" applyAlignment="1" applyBorder="1" applyFont="1">
      <alignment vertical="bottom"/>
    </xf>
    <xf borderId="9" fillId="18" fontId="22" numFmtId="0" xfId="0" applyAlignment="1" applyBorder="1" applyFont="1">
      <alignment horizontal="center" readingOrder="0" vertical="center"/>
    </xf>
    <xf borderId="0" fillId="3" fontId="17" numFmtId="0" xfId="0" applyAlignment="1" applyFont="1">
      <alignment horizontal="center" vertical="center"/>
    </xf>
    <xf borderId="0" fillId="3" fontId="17" numFmtId="0" xfId="0" applyAlignment="1" applyFont="1">
      <alignment horizontal="center" vertical="bottom"/>
    </xf>
    <xf borderId="0" fillId="3" fontId="2" numFmtId="0" xfId="0" applyAlignment="1" applyFont="1">
      <alignment readingOrder="0"/>
    </xf>
    <xf borderId="0" fillId="3" fontId="1" numFmtId="0" xfId="0" applyAlignment="1" applyFont="1">
      <alignment vertical="bottom"/>
    </xf>
    <xf borderId="0" fillId="3" fontId="19" numFmtId="0" xfId="0" applyAlignment="1" applyFont="1">
      <alignment vertical="bottom"/>
    </xf>
    <xf borderId="31" fillId="3" fontId="18" numFmtId="0" xfId="0" applyAlignment="1" applyBorder="1" applyFont="1">
      <alignment horizontal="left" readingOrder="0"/>
    </xf>
    <xf borderId="9" fillId="8" fontId="17" numFmtId="0" xfId="0" applyAlignment="1" applyBorder="1" applyFont="1">
      <alignment horizontal="center" vertical="center"/>
    </xf>
    <xf borderId="9" fillId="8" fontId="17" numFmtId="0" xfId="0" applyAlignment="1" applyBorder="1" applyFont="1">
      <alignment horizontal="center" vertical="bottom"/>
    </xf>
    <xf borderId="9" fillId="8" fontId="2" numFmtId="0" xfId="0" applyAlignment="1" applyBorder="1" applyFont="1">
      <alignment readingOrder="0"/>
    </xf>
    <xf borderId="9" fillId="8" fontId="1" numFmtId="0" xfId="0" applyAlignment="1" applyBorder="1" applyFont="1">
      <alignment vertical="bottom"/>
    </xf>
    <xf borderId="35" fillId="8" fontId="18" numFmtId="0" xfId="0" applyAlignment="1" applyBorder="1" applyFont="1">
      <alignment horizontal="left" readingOrder="0"/>
    </xf>
    <xf borderId="35" fillId="0" fontId="18" numFmtId="0" xfId="0" applyAlignment="1" applyBorder="1" applyFont="1">
      <alignment horizontal="center" vertical="center"/>
    </xf>
    <xf borderId="0" fillId="0" fontId="21" numFmtId="0" xfId="0" applyAlignment="1" applyFont="1">
      <alignment horizontal="center" readingOrder="0" vertical="center"/>
    </xf>
    <xf borderId="31" fillId="0" fontId="18" numFmtId="0" xfId="0" applyAlignment="1" applyBorder="1" applyFont="1">
      <alignment horizontal="center" vertical="center"/>
    </xf>
    <xf borderId="0" fillId="20" fontId="24" numFmtId="0" xfId="0" applyAlignment="1" applyFont="1">
      <alignment horizontal="center" vertical="center"/>
    </xf>
    <xf borderId="0" fillId="20" fontId="1" numFmtId="0" xfId="0" applyAlignment="1" applyFont="1">
      <alignment horizontal="center" vertical="center"/>
    </xf>
    <xf borderId="0" fillId="20" fontId="1" numFmtId="0" xfId="0" applyAlignment="1" applyFont="1">
      <alignment horizontal="left" vertical="center"/>
    </xf>
    <xf borderId="31" fillId="20" fontId="18" numFmtId="0" xfId="0" applyAlignment="1" applyBorder="1" applyFont="1">
      <alignment horizontal="center" vertical="center"/>
    </xf>
    <xf borderId="33" fillId="2" fontId="17" numFmtId="0" xfId="0" applyAlignment="1" applyBorder="1" applyFont="1">
      <alignment horizontal="center" vertical="center"/>
    </xf>
    <xf borderId="33" fillId="2" fontId="2" numFmtId="0" xfId="0" applyAlignment="1" applyBorder="1" applyFont="1">
      <alignment horizontal="center" readingOrder="0" vertical="center"/>
    </xf>
    <xf borderId="33" fillId="2" fontId="1" numFmtId="0" xfId="0" applyAlignment="1" applyBorder="1" applyFont="1">
      <alignment horizontal="center" vertical="center"/>
    </xf>
    <xf borderId="33" fillId="2" fontId="19" numFmtId="0" xfId="0" applyAlignment="1" applyBorder="1" applyFont="1">
      <alignment horizontal="left" vertical="center"/>
    </xf>
    <xf borderId="36" fillId="2" fontId="18" numFmtId="0" xfId="0" applyAlignment="1" applyBorder="1" applyFont="1">
      <alignment horizontal="center" readingOrder="0" vertical="center"/>
    </xf>
    <xf borderId="33" fillId="0" fontId="17" numFmtId="0" xfId="0" applyAlignment="1" applyBorder="1" applyFont="1">
      <alignment horizontal="center" vertical="bottom"/>
    </xf>
    <xf borderId="33" fillId="0" fontId="1" numFmtId="0" xfId="0" applyAlignment="1" applyBorder="1" applyFont="1">
      <alignment vertical="bottom"/>
    </xf>
    <xf borderId="33" fillId="0" fontId="19" numFmtId="0" xfId="0" applyAlignment="1" applyBorder="1" applyFont="1">
      <alignment vertical="bottom"/>
    </xf>
    <xf borderId="0" fillId="19" fontId="23" numFmtId="0" xfId="0" applyAlignment="1" applyFont="1">
      <alignment horizontal="center" vertical="center"/>
    </xf>
    <xf borderId="33" fillId="2" fontId="17" numFmtId="0" xfId="0" applyAlignment="1" applyBorder="1" applyFont="1">
      <alignment horizontal="center" vertical="bottom"/>
    </xf>
    <xf borderId="33" fillId="2" fontId="2" numFmtId="0" xfId="0" applyAlignment="1" applyBorder="1" applyFont="1">
      <alignment readingOrder="0"/>
    </xf>
    <xf borderId="33" fillId="2" fontId="1" numFmtId="0" xfId="0" applyAlignment="1" applyBorder="1" applyFont="1">
      <alignment vertical="bottom"/>
    </xf>
    <xf borderId="33" fillId="2" fontId="19" numFmtId="0" xfId="0" applyAlignment="1" applyBorder="1" applyFont="1">
      <alignment vertical="bottom"/>
    </xf>
    <xf borderId="36" fillId="2" fontId="18" numFmtId="0" xfId="0" applyAlignment="1" applyBorder="1" applyFont="1">
      <alignment horizontal="left" readingOrder="0"/>
    </xf>
    <xf borderId="33" fillId="0" fontId="20" numFmtId="0" xfId="0" applyAlignment="1" applyBorder="1" applyFont="1">
      <alignment horizontal="left" readingOrder="0"/>
    </xf>
    <xf borderId="33" fillId="11" fontId="17" numFmtId="0" xfId="0" applyAlignment="1" applyBorder="1" applyFont="1">
      <alignment horizontal="center" vertical="center"/>
    </xf>
    <xf borderId="33" fillId="11" fontId="17" numFmtId="0" xfId="0" applyAlignment="1" applyBorder="1" applyFont="1">
      <alignment horizontal="center" vertical="bottom"/>
    </xf>
    <xf borderId="33" fillId="11" fontId="2" numFmtId="0" xfId="0" applyAlignment="1" applyBorder="1" applyFont="1">
      <alignment readingOrder="0"/>
    </xf>
    <xf borderId="33" fillId="11" fontId="1" numFmtId="0" xfId="0" applyAlignment="1" applyBorder="1" applyFont="1">
      <alignment vertical="bottom"/>
    </xf>
    <xf borderId="36" fillId="11" fontId="18" numFmtId="0" xfId="0" applyAlignment="1" applyBorder="1" applyFont="1">
      <alignment horizontal="left" readingOrder="0"/>
    </xf>
    <xf borderId="0" fillId="2" fontId="17" numFmtId="0" xfId="0" applyAlignment="1" applyFont="1">
      <alignment horizontal="center" vertical="bottom"/>
    </xf>
    <xf borderId="31" fillId="2" fontId="2" numFmtId="0" xfId="0" applyAlignment="1" applyBorder="1" applyFont="1">
      <alignment readingOrder="0"/>
    </xf>
    <xf borderId="0" fillId="4" fontId="24" numFmtId="0" xfId="0" applyAlignment="1" applyFont="1">
      <alignment horizontal="center" vertical="bottom"/>
    </xf>
    <xf borderId="31" fillId="4" fontId="2" numFmtId="0" xfId="0" applyAlignment="1" applyBorder="1" applyFont="1">
      <alignment readingOrder="0"/>
    </xf>
    <xf borderId="9" fillId="0" fontId="26" numFmtId="0" xfId="0" applyAlignment="1" applyBorder="1" applyFont="1">
      <alignment horizontal="center" readingOrder="0" vertical="center"/>
    </xf>
    <xf borderId="33" fillId="10" fontId="17" numFmtId="0" xfId="0" applyAlignment="1" applyBorder="1" applyFont="1">
      <alignment horizontal="center" vertical="bottom"/>
    </xf>
    <xf borderId="33" fillId="10" fontId="2" numFmtId="0" xfId="0" applyAlignment="1" applyBorder="1" applyFont="1">
      <alignment readingOrder="0"/>
    </xf>
    <xf borderId="33" fillId="10" fontId="1" numFmtId="0" xfId="0" applyAlignment="1" applyBorder="1" applyFont="1">
      <alignment vertical="bottom"/>
    </xf>
    <xf borderId="36" fillId="10" fontId="2" numFmtId="0" xfId="0" applyAlignment="1" applyBorder="1" applyFont="1">
      <alignment readingOrder="0"/>
    </xf>
    <xf borderId="9" fillId="5" fontId="17" numFmtId="0" xfId="0" applyAlignment="1" applyBorder="1" applyFont="1">
      <alignment horizontal="center" vertical="center"/>
    </xf>
    <xf borderId="9" fillId="5" fontId="17" numFmtId="0" xfId="0" applyAlignment="1" applyBorder="1" applyFont="1">
      <alignment horizontal="center" vertical="bottom"/>
    </xf>
    <xf borderId="9" fillId="5" fontId="2" numFmtId="0" xfId="0" applyAlignment="1" applyBorder="1" applyFont="1">
      <alignment readingOrder="0"/>
    </xf>
    <xf borderId="9" fillId="5" fontId="1" numFmtId="0" xfId="0" applyAlignment="1" applyBorder="1" applyFont="1">
      <alignment vertical="bottom"/>
    </xf>
    <xf borderId="0" fillId="7" fontId="1" numFmtId="0" xfId="0" applyAlignment="1" applyFont="1">
      <alignment readingOrder="0"/>
    </xf>
    <xf borderId="0" fillId="0" fontId="25" numFmtId="0" xfId="0" applyAlignment="1" applyFont="1">
      <alignment horizontal="center" readingOrder="0" vertical="center"/>
    </xf>
    <xf borderId="0" fillId="0" fontId="26" numFmtId="0" xfId="0" applyAlignment="1" applyFont="1">
      <alignment horizontal="center" readingOrder="0" vertical="center"/>
    </xf>
    <xf borderId="33" fillId="0" fontId="20" numFmtId="0" xfId="0" applyAlignment="1" applyBorder="1" applyFont="1">
      <alignment horizontal="center" readingOrder="0"/>
    </xf>
    <xf borderId="33" fillId="5" fontId="17" numFmtId="0" xfId="0" applyAlignment="1" applyBorder="1" applyFont="1">
      <alignment horizontal="center" vertical="bottom"/>
    </xf>
    <xf borderId="33" fillId="5" fontId="2" numFmtId="0" xfId="0" applyAlignment="1" applyBorder="1" applyFont="1">
      <alignment readingOrder="0"/>
    </xf>
    <xf borderId="33" fillId="5" fontId="1" numFmtId="0" xfId="0" applyAlignment="1" applyBorder="1" applyFont="1">
      <alignment vertical="bottom"/>
    </xf>
    <xf borderId="33" fillId="5" fontId="19" numFmtId="0" xfId="0" applyAlignment="1" applyBorder="1" applyFont="1">
      <alignment vertical="bottom"/>
    </xf>
    <xf borderId="36" fillId="5" fontId="18" numFmtId="0" xfId="0" applyAlignment="1" applyBorder="1" applyFont="1">
      <alignment horizontal="left" readingOrder="0"/>
    </xf>
    <xf borderId="33" fillId="8" fontId="17" numFmtId="0" xfId="0" applyAlignment="1" applyBorder="1" applyFont="1">
      <alignment horizontal="center" vertical="center"/>
    </xf>
    <xf borderId="33" fillId="8" fontId="17" numFmtId="0" xfId="0" applyAlignment="1" applyBorder="1" applyFont="1">
      <alignment horizontal="center" vertical="bottom"/>
    </xf>
    <xf borderId="33" fillId="8" fontId="2" numFmtId="0" xfId="0" applyAlignment="1" applyBorder="1" applyFont="1">
      <alignment readingOrder="0"/>
    </xf>
    <xf borderId="33" fillId="8" fontId="1" numFmtId="0" xfId="0" applyAlignment="1" applyBorder="1" applyFont="1">
      <alignment vertical="bottom"/>
    </xf>
    <xf borderId="36" fillId="8" fontId="18" numFmtId="0" xfId="0" applyAlignment="1" applyBorder="1" applyFont="1">
      <alignment horizontal="left" readingOrder="0"/>
    </xf>
    <xf borderId="9" fillId="2" fontId="17" numFmtId="0" xfId="0" applyAlignment="1" applyBorder="1" applyFont="1">
      <alignment horizontal="center" vertical="bottom"/>
    </xf>
    <xf borderId="9" fillId="2" fontId="2" numFmtId="0" xfId="0" applyAlignment="1" applyBorder="1" applyFont="1">
      <alignment readingOrder="0"/>
    </xf>
    <xf borderId="9" fillId="2" fontId="1" numFmtId="0" xfId="0" applyAlignment="1" applyBorder="1" applyFont="1">
      <alignment vertical="bottom"/>
    </xf>
    <xf borderId="35" fillId="2" fontId="2" numFmtId="0" xfId="0" applyAlignment="1" applyBorder="1" applyFont="1">
      <alignment readingOrder="0"/>
    </xf>
    <xf borderId="9" fillId="4" fontId="24" numFmtId="0" xfId="0" applyAlignment="1" applyBorder="1" applyFont="1">
      <alignment horizontal="center" vertical="bottom"/>
    </xf>
    <xf borderId="9" fillId="4" fontId="2" numFmtId="0" xfId="0" applyAlignment="1" applyBorder="1" applyFont="1">
      <alignment readingOrder="0"/>
    </xf>
    <xf borderId="9" fillId="4" fontId="1" numFmtId="0" xfId="0" applyAlignment="1" applyBorder="1" applyFont="1">
      <alignment vertical="bottom"/>
    </xf>
    <xf borderId="35" fillId="4" fontId="2" numFmtId="0" xfId="0" applyAlignment="1" applyBorder="1" applyFont="1">
      <alignment readingOrder="0"/>
    </xf>
    <xf borderId="32" fillId="21" fontId="34" numFmtId="0" xfId="0" applyAlignment="1" applyBorder="1" applyFont="1">
      <alignment horizontal="center" readingOrder="0" vertical="center"/>
    </xf>
    <xf borderId="0" fillId="21" fontId="20" numFmtId="0" xfId="0" applyAlignment="1" applyFont="1">
      <alignment readingOrder="0"/>
    </xf>
    <xf borderId="31" fillId="21" fontId="18" numFmtId="0" xfId="0" applyAlignment="1" applyBorder="1" applyFont="1">
      <alignment horizontal="left" readingOrder="0" vertical="center"/>
    </xf>
    <xf borderId="9" fillId="7" fontId="17" numFmtId="0" xfId="0" applyAlignment="1" applyBorder="1" applyFont="1">
      <alignment horizontal="center" vertical="bottom"/>
    </xf>
    <xf borderId="35" fillId="7" fontId="18" numFmtId="0" xfId="0" applyAlignment="1" applyBorder="1" applyFont="1">
      <alignment horizontal="left" readingOrder="0"/>
    </xf>
    <xf borderId="33" fillId="0" fontId="20" numFmtId="0" xfId="0" applyBorder="1" applyFont="1"/>
    <xf borderId="36" fillId="0" fontId="18" numFmtId="0" xfId="0" applyAlignment="1" applyBorder="1" applyFont="1">
      <alignment horizontal="left"/>
    </xf>
    <xf borderId="33" fillId="22" fontId="24" numFmtId="0" xfId="0" applyAlignment="1" applyBorder="1" applyFont="1">
      <alignment horizontal="center"/>
    </xf>
    <xf borderId="33" fillId="22" fontId="24" numFmtId="0" xfId="0" applyAlignment="1" applyBorder="1" applyFont="1">
      <alignment horizontal="center" readingOrder="0"/>
    </xf>
    <xf borderId="33" fillId="22" fontId="1" numFmtId="0" xfId="0" applyAlignment="1" applyBorder="1" applyFont="1">
      <alignment vertical="bottom"/>
    </xf>
    <xf borderId="36" fillId="22" fontId="18" numFmtId="0" xfId="0" applyAlignment="1" applyBorder="1" applyFont="1">
      <alignment vertical="bottom"/>
    </xf>
    <xf borderId="9" fillId="0" fontId="2" numFmtId="0" xfId="0" applyAlignment="1" applyBorder="1" applyFont="1">
      <alignment readingOrder="0"/>
    </xf>
    <xf borderId="34" fillId="0" fontId="26" numFmtId="0" xfId="0" applyAlignment="1" applyBorder="1" applyFont="1">
      <alignment horizontal="center" readingOrder="0" vertical="center"/>
    </xf>
    <xf borderId="9" fillId="11" fontId="17" numFmtId="0" xfId="0" applyAlignment="1" applyBorder="1" applyFont="1">
      <alignment horizontal="center" vertical="center"/>
    </xf>
    <xf borderId="9" fillId="11" fontId="17" numFmtId="0" xfId="0" applyAlignment="1" applyBorder="1" applyFont="1">
      <alignment horizontal="center" vertical="bottom"/>
    </xf>
    <xf borderId="9" fillId="11" fontId="2" numFmtId="0" xfId="0" applyAlignment="1" applyBorder="1" applyFont="1">
      <alignment readingOrder="0"/>
    </xf>
    <xf borderId="9" fillId="11" fontId="1" numFmtId="0" xfId="0" applyAlignment="1" applyBorder="1" applyFont="1">
      <alignment vertical="bottom"/>
    </xf>
    <xf borderId="9" fillId="11" fontId="19" numFmtId="0" xfId="0" applyAlignment="1" applyBorder="1" applyFont="1">
      <alignment vertical="bottom"/>
    </xf>
    <xf borderId="35" fillId="11" fontId="18" numFmtId="0" xfId="0" applyAlignment="1" applyBorder="1" applyFont="1">
      <alignment horizontal="left" readingOrder="0"/>
    </xf>
    <xf borderId="0" fillId="7" fontId="17" numFmtId="0" xfId="0" applyAlignment="1" applyFont="1">
      <alignment horizontal="center" vertical="center"/>
    </xf>
    <xf borderId="37" fillId="0" fontId="17" numFmtId="0" xfId="0" applyAlignment="1" applyBorder="1" applyFont="1">
      <alignment horizontal="center" readingOrder="0" vertical="center"/>
    </xf>
    <xf borderId="9" fillId="0" fontId="35" numFmtId="0" xfId="0" applyAlignment="1" applyBorder="1" applyFont="1">
      <alignment horizontal="center" readingOrder="0" vertical="center"/>
    </xf>
    <xf borderId="38" fillId="0" fontId="18" numFmtId="0" xfId="0" applyAlignment="1" applyBorder="1" applyFont="1">
      <alignment horizontal="left" vertical="bottom"/>
    </xf>
    <xf borderId="39" fillId="0" fontId="17" numFmtId="0" xfId="0" applyAlignment="1" applyBorder="1" applyFont="1">
      <alignment horizontal="center" vertical="center"/>
    </xf>
    <xf borderId="40" fillId="0" fontId="18" numFmtId="0" xfId="0" applyAlignment="1" applyBorder="1" applyFont="1">
      <alignment horizontal="left" vertical="bottom"/>
    </xf>
    <xf borderId="41" fillId="0" fontId="17" numFmtId="0" xfId="0" applyAlignment="1" applyBorder="1" applyFont="1">
      <alignment horizontal="center" readingOrder="0" vertical="center"/>
    </xf>
    <xf borderId="42" fillId="0" fontId="17" numFmtId="0" xfId="0" applyAlignment="1" applyBorder="1" applyFont="1">
      <alignment horizontal="center" readingOrder="0" vertical="center"/>
    </xf>
    <xf borderId="42" fillId="0" fontId="5" numFmtId="0" xfId="0" applyBorder="1" applyFont="1"/>
    <xf borderId="42" fillId="0" fontId="20" numFmtId="0" xfId="0" applyAlignment="1" applyBorder="1" applyFont="1">
      <alignment readingOrder="0"/>
    </xf>
    <xf borderId="43" fillId="0" fontId="18" numFmtId="0" xfId="0" applyAlignment="1" applyBorder="1" applyFont="1">
      <alignment horizontal="left" vertical="bottom"/>
    </xf>
    <xf borderId="0" fillId="0" fontId="35" numFmtId="0" xfId="0" applyAlignment="1" applyFont="1">
      <alignment horizontal="center" readingOrder="0" vertical="center"/>
    </xf>
    <xf borderId="36" fillId="0" fontId="5" numFmtId="0" xfId="0" applyBorder="1" applyFont="1"/>
    <xf borderId="34" fillId="18" fontId="25" numFmtId="0" xfId="0" applyAlignment="1" applyBorder="1" applyFont="1">
      <alignment horizontal="center" readingOrder="0" vertical="center"/>
    </xf>
    <xf borderId="9" fillId="18" fontId="36" numFmtId="0" xfId="0" applyAlignment="1" applyBorder="1" applyFont="1">
      <alignment horizontal="center" readingOrder="0" shrinkToFit="0" vertical="center" wrapText="0"/>
    </xf>
    <xf borderId="34" fillId="0" fontId="37" numFmtId="0" xfId="0" applyAlignment="1" applyBorder="1" applyFont="1">
      <alignment horizontal="center" readingOrder="0" vertical="center"/>
    </xf>
    <xf borderId="0" fillId="18" fontId="24" numFmtId="0" xfId="0" applyAlignment="1" applyFont="1">
      <alignment horizontal="center" vertical="bottom"/>
    </xf>
    <xf borderId="0" fillId="18" fontId="24" numFmtId="0" xfId="0" applyAlignment="1" applyFont="1">
      <alignment horizontal="center" vertical="center"/>
    </xf>
    <xf borderId="0" fillId="18" fontId="2" numFmtId="0" xfId="0" applyAlignment="1" applyFont="1">
      <alignment readingOrder="0"/>
    </xf>
    <xf borderId="0" fillId="18" fontId="1" numFmtId="0" xfId="0" applyAlignment="1" applyFont="1">
      <alignment readingOrder="0" vertical="bottom"/>
    </xf>
    <xf borderId="36" fillId="18" fontId="2" numFmtId="0" xfId="0" applyAlignment="1" applyBorder="1" applyFont="1">
      <alignment readingOrder="0"/>
    </xf>
    <xf borderId="33" fillId="4" fontId="24" numFmtId="0" xfId="0" applyAlignment="1" applyBorder="1" applyFont="1">
      <alignment horizontal="center" vertical="bottom"/>
    </xf>
    <xf borderId="33" fillId="4" fontId="1" numFmtId="0" xfId="0" applyAlignment="1" applyBorder="1" applyFont="1">
      <alignment vertical="bottom"/>
    </xf>
    <xf borderId="36" fillId="4" fontId="2" numFmtId="0" xfId="0" applyAlignment="1" applyBorder="1" applyFont="1">
      <alignment readingOrder="0"/>
    </xf>
    <xf borderId="9" fillId="7" fontId="19" numFmtId="0" xfId="0" applyAlignment="1" applyBorder="1" applyFont="1">
      <alignment vertical="bottom"/>
    </xf>
    <xf borderId="9" fillId="0" fontId="38" numFmtId="0" xfId="0" applyAlignment="1" applyBorder="1" applyFont="1">
      <alignment horizontal="center" readingOrder="0" vertical="center"/>
    </xf>
    <xf borderId="0" fillId="7" fontId="24" numFmtId="0" xfId="0" applyAlignment="1" applyFont="1">
      <alignment horizontal="center" vertical="bottom"/>
    </xf>
    <xf borderId="9" fillId="0" fontId="17" numFmtId="0" xfId="0" applyAlignment="1" applyBorder="1" applyFont="1">
      <alignment horizontal="center" vertical="bottom"/>
    </xf>
    <xf borderId="35" fillId="0" fontId="18" numFmtId="0" xfId="0" applyAlignment="1" applyBorder="1" applyFont="1">
      <alignment horizontal="left" readingOrder="0"/>
    </xf>
    <xf borderId="33" fillId="5" fontId="17" numFmtId="0" xfId="0" applyAlignment="1" applyBorder="1" applyFont="1">
      <alignment horizontal="center" vertical="center"/>
    </xf>
    <xf borderId="9" fillId="7" fontId="24" numFmtId="0" xfId="0" applyAlignment="1" applyBorder="1" applyFont="1">
      <alignment horizontal="center" vertical="bottom"/>
    </xf>
    <xf borderId="0" fillId="10" fontId="17" numFmtId="0" xfId="0" applyAlignment="1" applyFont="1">
      <alignment horizontal="center" vertical="bottom"/>
    </xf>
    <xf borderId="31" fillId="10" fontId="2" numFmtId="0" xfId="0" applyAlignment="1" applyBorder="1" applyFont="1">
      <alignment readingOrder="0"/>
    </xf>
    <xf borderId="9" fillId="0" fontId="19" numFmtId="0" xfId="0" applyAlignment="1" applyBorder="1" applyFont="1">
      <alignment horizontal="left" readingOrder="0"/>
    </xf>
    <xf borderId="35" fillId="4" fontId="18" numFmtId="0" xfId="0" applyAlignment="1" applyBorder="1" applyFont="1">
      <alignment horizontal="left" readingOrder="0"/>
    </xf>
    <xf borderId="9" fillId="4" fontId="17" numFmtId="0" xfId="0" applyAlignment="1" applyBorder="1" applyFont="1">
      <alignment horizontal="center" readingOrder="0" vertical="bottom"/>
    </xf>
    <xf borderId="9" fillId="4" fontId="1" numFmtId="0" xfId="0" applyAlignment="1" applyBorder="1" applyFont="1">
      <alignment readingOrder="0" vertical="bottom"/>
    </xf>
    <xf borderId="9" fillId="4" fontId="19" numFmtId="0" xfId="0" applyAlignment="1" applyBorder="1" applyFont="1">
      <alignment readingOrder="0" vertical="bottom"/>
    </xf>
    <xf borderId="44" fillId="0" fontId="22" numFmtId="0" xfId="0" applyAlignment="1" applyBorder="1" applyFont="1">
      <alignment horizontal="center" readingOrder="0" vertical="center"/>
    </xf>
    <xf borderId="45" fillId="0" fontId="5" numFmtId="0" xfId="0" applyBorder="1" applyFont="1"/>
    <xf borderId="46" fillId="0" fontId="5" numFmtId="0" xfId="0" applyBorder="1" applyFont="1"/>
    <xf borderId="34" fillId="24" fontId="35" numFmtId="0" xfId="0" applyAlignment="1" applyBorder="1" applyFill="1" applyFont="1">
      <alignment horizontal="center" readingOrder="0" vertical="center"/>
    </xf>
    <xf borderId="9" fillId="24" fontId="35" numFmtId="0" xfId="0" applyAlignment="1" applyBorder="1" applyFont="1">
      <alignment horizontal="center" readingOrder="0" vertical="center"/>
    </xf>
    <xf borderId="9" fillId="18" fontId="16" numFmtId="0" xfId="0" applyAlignment="1" applyBorder="1" applyFont="1">
      <alignment horizontal="center" vertical="center"/>
    </xf>
    <xf borderId="9" fillId="18" fontId="17" numFmtId="0" xfId="0" applyAlignment="1" applyBorder="1" applyFont="1">
      <alignment horizontal="center" readingOrder="0" vertical="center"/>
    </xf>
    <xf borderId="9" fillId="18" fontId="21" numFmtId="0" xfId="0" applyAlignment="1" applyBorder="1" applyFont="1">
      <alignment horizontal="center" readingOrder="0"/>
    </xf>
    <xf borderId="9" fillId="18" fontId="2" numFmtId="0" xfId="0" applyBorder="1" applyFont="1"/>
    <xf borderId="9" fillId="18" fontId="20" numFmtId="0" xfId="0" applyAlignment="1" applyBorder="1" applyFont="1">
      <alignment readingOrder="0"/>
    </xf>
    <xf borderId="35" fillId="18" fontId="18" numFmtId="0" xfId="0" applyAlignment="1" applyBorder="1" applyFont="1">
      <alignment horizontal="left" vertical="bottom"/>
    </xf>
    <xf borderId="0" fillId="8" fontId="19" numFmtId="0" xfId="0" applyAlignment="1" applyFont="1">
      <alignment vertical="bottom"/>
    </xf>
    <xf borderId="0" fillId="9" fontId="17" numFmtId="0" xfId="0" applyAlignment="1" applyFont="1">
      <alignment horizontal="center" vertical="bottom"/>
    </xf>
    <xf borderId="0" fillId="9" fontId="19" numFmtId="0" xfId="0" applyAlignment="1" applyFont="1">
      <alignment vertical="bottom"/>
    </xf>
    <xf borderId="0" fillId="10" fontId="19" numFmtId="0" xfId="0" applyAlignment="1" applyFont="1">
      <alignment vertical="bottom"/>
    </xf>
    <xf borderId="31" fillId="10" fontId="18" numFmtId="0" xfId="0" applyAlignment="1" applyBorder="1" applyFont="1">
      <alignment horizontal="left" readingOrder="0"/>
    </xf>
    <xf borderId="9" fillId="3" fontId="17" numFmtId="0" xfId="0" applyAlignment="1" applyBorder="1" applyFont="1">
      <alignment horizontal="center" vertical="center"/>
    </xf>
    <xf borderId="9" fillId="3" fontId="17" numFmtId="0" xfId="0" applyAlignment="1" applyBorder="1" applyFont="1">
      <alignment horizontal="center" vertical="bottom"/>
    </xf>
    <xf borderId="9" fillId="3" fontId="2" numFmtId="0" xfId="0" applyAlignment="1" applyBorder="1" applyFont="1">
      <alignment readingOrder="0"/>
    </xf>
    <xf borderId="9" fillId="3" fontId="1" numFmtId="0" xfId="0" applyAlignment="1" applyBorder="1" applyFont="1">
      <alignment vertical="bottom"/>
    </xf>
    <xf borderId="9" fillId="3" fontId="19" numFmtId="0" xfId="0" applyAlignment="1" applyBorder="1" applyFont="1">
      <alignment vertical="bottom"/>
    </xf>
    <xf borderId="35" fillId="3" fontId="18" numFmtId="0" xfId="0" applyAlignment="1" applyBorder="1" applyFont="1">
      <alignment horizontal="left" readingOrder="0"/>
    </xf>
    <xf borderId="0" fillId="7" fontId="17" numFmtId="0" xfId="0" applyAlignment="1" applyFont="1">
      <alignment horizontal="center" vertical="center"/>
    </xf>
    <xf borderId="0" fillId="7" fontId="19" numFmtId="0" xfId="0" applyAlignment="1" applyFont="1">
      <alignment vertical="bottom"/>
    </xf>
    <xf borderId="0" fillId="4" fontId="18" numFmtId="0" xfId="0" applyAlignment="1" applyFont="1">
      <alignment horizontal="left" readingOrder="0"/>
    </xf>
    <xf borderId="33" fillId="11" fontId="19" numFmtId="0" xfId="0" applyAlignment="1" applyBorder="1" applyFont="1">
      <alignment vertical="bottom"/>
    </xf>
    <xf borderId="34" fillId="0" fontId="25" numFmtId="0" xfId="0" applyAlignment="1" applyBorder="1" applyFont="1">
      <alignment horizontal="center" vertical="center"/>
    </xf>
    <xf borderId="9" fillId="0" fontId="25" numFmtId="0" xfId="0" applyAlignment="1" applyBorder="1" applyFont="1">
      <alignment horizontal="center" vertical="center"/>
    </xf>
    <xf borderId="9" fillId="25" fontId="23" numFmtId="0" xfId="0" applyAlignment="1" applyBorder="1" applyFill="1" applyFont="1">
      <alignment horizontal="center" vertical="center"/>
    </xf>
    <xf borderId="9" fillId="26" fontId="39" numFmtId="0" xfId="0" applyAlignment="1" applyBorder="1" applyFill="1" applyFont="1">
      <alignment horizontal="center"/>
    </xf>
    <xf borderId="9" fillId="26" fontId="24" numFmtId="0" xfId="0" applyAlignment="1" applyBorder="1" applyFont="1">
      <alignment horizontal="center"/>
    </xf>
    <xf borderId="9" fillId="26" fontId="1" numFmtId="0" xfId="0" applyBorder="1" applyFont="1"/>
    <xf borderId="35" fillId="26" fontId="18" numFmtId="0" xfId="0" applyAlignment="1" applyBorder="1" applyFont="1">
      <alignment vertical="bottom"/>
    </xf>
    <xf borderId="0" fillId="27" fontId="24" numFmtId="0" xfId="0" applyAlignment="1" applyFill="1" applyFont="1">
      <alignment horizontal="center" vertical="bottom"/>
    </xf>
    <xf borderId="0" fillId="27" fontId="1" numFmtId="0" xfId="0" applyAlignment="1" applyFont="1">
      <alignment vertical="bottom"/>
    </xf>
    <xf borderId="31" fillId="27" fontId="18" numFmtId="0" xfId="0" applyAlignment="1" applyBorder="1" applyFont="1">
      <alignment vertical="bottom"/>
    </xf>
    <xf borderId="0" fillId="28" fontId="24" numFmtId="0" xfId="0" applyAlignment="1" applyFill="1" applyFont="1">
      <alignment horizontal="center" readingOrder="0"/>
    </xf>
    <xf borderId="0" fillId="28" fontId="24" numFmtId="0" xfId="0" applyAlignment="1" applyFont="1">
      <alignment horizontal="center" vertical="bottom"/>
    </xf>
    <xf borderId="0" fillId="28" fontId="1" numFmtId="0" xfId="0" applyAlignment="1" applyFont="1">
      <alignment vertical="bottom"/>
    </xf>
    <xf borderId="31" fillId="28" fontId="18" numFmtId="0" xfId="0" applyAlignment="1" applyBorder="1" applyFont="1">
      <alignment vertical="bottom"/>
    </xf>
    <xf borderId="0" fillId="22" fontId="24" numFmtId="0" xfId="0" applyAlignment="1" applyFont="1">
      <alignment horizontal="center"/>
    </xf>
    <xf borderId="0" fillId="22" fontId="24" numFmtId="0" xfId="0" applyAlignment="1" applyFont="1">
      <alignment horizontal="center" vertical="bottom"/>
    </xf>
    <xf borderId="0" fillId="22" fontId="1" numFmtId="0" xfId="0" applyAlignment="1" applyFont="1">
      <alignment vertical="bottom"/>
    </xf>
    <xf borderId="31" fillId="22" fontId="18" numFmtId="0" xfId="0" applyAlignment="1" applyBorder="1" applyFont="1">
      <alignment vertical="bottom"/>
    </xf>
    <xf borderId="33" fillId="4" fontId="24" numFmtId="0" xfId="0" applyAlignment="1" applyBorder="1" applyFont="1">
      <alignment horizontal="center" vertical="bottom"/>
    </xf>
    <xf borderId="36" fillId="4" fontId="1" numFmtId="0" xfId="0" applyAlignment="1" applyBorder="1" applyFont="1">
      <alignment vertical="bottom"/>
    </xf>
    <xf borderId="33" fillId="2" fontId="17" numFmtId="0" xfId="0" applyAlignment="1" applyBorder="1" applyFont="1">
      <alignment horizontal="center" vertical="bottom"/>
    </xf>
    <xf borderId="33" fillId="2" fontId="1" numFmtId="0" xfId="0" applyAlignment="1" applyBorder="1" applyFont="1">
      <alignment vertical="bottom"/>
    </xf>
    <xf borderId="36" fillId="2" fontId="2" numFmtId="0" xfId="0" applyAlignment="1" applyBorder="1" applyFont="1">
      <alignment readingOrder="0"/>
    </xf>
    <xf borderId="33" fillId="7" fontId="17" numFmtId="0" xfId="0" applyAlignment="1" applyBorder="1" applyFont="1">
      <alignment horizontal="center" vertical="bottom"/>
    </xf>
    <xf borderId="33" fillId="7" fontId="2" numFmtId="0" xfId="0" applyAlignment="1" applyBorder="1" applyFont="1">
      <alignment readingOrder="0"/>
    </xf>
    <xf borderId="33" fillId="7" fontId="1" numFmtId="0" xfId="0" applyAlignment="1" applyBorder="1" applyFont="1">
      <alignment vertical="bottom"/>
    </xf>
    <xf borderId="33" fillId="7" fontId="19" numFmtId="0" xfId="0" applyAlignment="1" applyBorder="1" applyFont="1">
      <alignment vertical="bottom"/>
    </xf>
    <xf borderId="36" fillId="7" fontId="18" numFmtId="0" xfId="0" applyAlignment="1" applyBorder="1" applyFont="1">
      <alignment horizontal="left" readingOrder="0"/>
    </xf>
    <xf borderId="33" fillId="18" fontId="24" numFmtId="0" xfId="0" applyAlignment="1" applyBorder="1" applyFont="1">
      <alignment horizontal="center" vertical="bottom"/>
    </xf>
    <xf borderId="33" fillId="18" fontId="24" numFmtId="0" xfId="0" applyAlignment="1" applyBorder="1" applyFont="1">
      <alignment horizontal="center" vertical="center"/>
    </xf>
    <xf borderId="33" fillId="18" fontId="2" numFmtId="0" xfId="0" applyAlignment="1" applyBorder="1" applyFont="1">
      <alignment readingOrder="0"/>
    </xf>
    <xf borderId="33" fillId="18" fontId="1" numFmtId="0" xfId="0" applyAlignment="1" applyBorder="1" applyFont="1">
      <alignment readingOrder="0" vertical="bottom"/>
    </xf>
    <xf borderId="0" fillId="6" fontId="24" numFmtId="0" xfId="0" applyAlignment="1" applyFont="1">
      <alignment horizontal="center" vertical="center"/>
    </xf>
    <xf borderId="0" fillId="6" fontId="17" numFmtId="0" xfId="0" applyAlignment="1" applyFont="1">
      <alignment horizontal="center" readingOrder="0" vertical="center"/>
    </xf>
    <xf borderId="0" fillId="6" fontId="19" numFmtId="0" xfId="0" applyAlignment="1" applyFont="1">
      <alignment horizontal="left" vertical="center"/>
    </xf>
    <xf borderId="31" fillId="6" fontId="20" numFmtId="0" xfId="0" applyAlignment="1" applyBorder="1" applyFont="1">
      <alignment horizontal="left" readingOrder="0" vertical="center"/>
    </xf>
    <xf borderId="31" fillId="5" fontId="2" numFmtId="0" xfId="0" applyAlignment="1" applyBorder="1" applyFont="1">
      <alignment readingOrder="0"/>
    </xf>
    <xf borderId="33" fillId="23" fontId="24" numFmtId="0" xfId="0" applyAlignment="1" applyBorder="1" applyFont="1">
      <alignment horizontal="center"/>
    </xf>
    <xf borderId="33" fillId="23" fontId="24" numFmtId="0" xfId="0" applyAlignment="1" applyBorder="1" applyFont="1">
      <alignment horizontal="center" readingOrder="0" vertical="bottom"/>
    </xf>
    <xf borderId="33" fillId="23" fontId="1" numFmtId="0" xfId="0" applyAlignment="1" applyBorder="1" applyFont="1">
      <alignment vertical="bottom"/>
    </xf>
    <xf borderId="36" fillId="23" fontId="18" numFmtId="0" xfId="0" applyAlignment="1" applyBorder="1" applyFont="1">
      <alignment vertical="bottom"/>
    </xf>
    <xf borderId="0" fillId="0" fontId="24" numFmtId="0" xfId="0" applyAlignment="1" applyFont="1">
      <alignment horizontal="center"/>
    </xf>
    <xf borderId="0" fillId="0" fontId="24" numFmtId="0" xfId="0" applyFont="1"/>
    <xf borderId="0" fillId="0" fontId="19" numFmtId="0" xfId="0" applyAlignment="1" applyFont="1">
      <alignment readingOrder="0"/>
    </xf>
    <xf borderId="33" fillId="4" fontId="17" numFmtId="0" xfId="0" applyAlignment="1" applyBorder="1" applyFont="1">
      <alignment horizontal="center" readingOrder="0" vertical="bottom"/>
    </xf>
    <xf borderId="33" fillId="4" fontId="1" numFmtId="0" xfId="0" applyAlignment="1" applyBorder="1" applyFont="1">
      <alignment readingOrder="0" vertical="bottom"/>
    </xf>
    <xf borderId="33" fillId="4" fontId="19" numFmtId="0" xfId="0" applyAlignment="1" applyBorder="1" applyFont="1">
      <alignment readingOrder="0" vertical="bottom"/>
    </xf>
    <xf borderId="47" fillId="0" fontId="15" numFmtId="0" xfId="0" applyAlignment="1" applyBorder="1" applyFont="1">
      <alignment horizontal="center" readingOrder="0" vertical="center"/>
    </xf>
    <xf borderId="48" fillId="0" fontId="15" numFmtId="0" xfId="0" applyAlignment="1" applyBorder="1" applyFont="1">
      <alignment horizontal="center" readingOrder="0" vertical="center"/>
    </xf>
    <xf borderId="48" fillId="19" fontId="23" numFmtId="0" xfId="0" applyAlignment="1" applyBorder="1" applyFont="1">
      <alignment horizontal="center"/>
    </xf>
    <xf borderId="48" fillId="0" fontId="17" numFmtId="0" xfId="0" applyAlignment="1" applyBorder="1" applyFont="1">
      <alignment horizontal="center" readingOrder="0" vertical="center"/>
    </xf>
    <xf borderId="48" fillId="0" fontId="2" numFmtId="0" xfId="0" applyAlignment="1" applyBorder="1" applyFont="1">
      <alignment horizontal="center"/>
    </xf>
    <xf borderId="48" fillId="0" fontId="2" numFmtId="0" xfId="0" applyBorder="1" applyFont="1"/>
    <xf borderId="48" fillId="0" fontId="24" numFmtId="0" xfId="0" applyAlignment="1" applyBorder="1" applyFont="1">
      <alignment readingOrder="0"/>
    </xf>
    <xf borderId="49" fillId="4" fontId="18" numFmtId="0" xfId="0" applyAlignment="1" applyBorder="1" applyFont="1">
      <alignment horizontal="left" readingOrder="0"/>
    </xf>
    <xf borderId="30" fillId="21" fontId="22" numFmtId="0" xfId="0" applyAlignment="1" applyBorder="1" applyFont="1">
      <alignment horizontal="center" readingOrder="0" vertical="center"/>
    </xf>
    <xf borderId="34" fillId="21" fontId="22" numFmtId="0" xfId="0" applyAlignment="1" applyBorder="1" applyFont="1">
      <alignment horizontal="center" readingOrder="0" vertical="center"/>
    </xf>
    <xf borderId="9" fillId="21" fontId="22" numFmtId="0" xfId="0" applyAlignment="1" applyBorder="1" applyFont="1">
      <alignment horizontal="center" readingOrder="0" vertical="center"/>
    </xf>
    <xf borderId="9" fillId="0" fontId="14" numFmtId="0" xfId="0" applyAlignment="1" applyBorder="1" applyFont="1">
      <alignment horizontal="center" readingOrder="0" vertical="center"/>
    </xf>
    <xf borderId="9" fillId="7" fontId="17" numFmtId="0" xfId="0" applyAlignment="1" applyBorder="1" applyFont="1">
      <alignment horizontal="center" vertical="center"/>
    </xf>
    <xf borderId="9" fillId="7" fontId="40" numFmtId="0" xfId="0" applyAlignment="1" applyBorder="1" applyFont="1">
      <alignment horizontal="center" readingOrder="0" vertical="center"/>
    </xf>
    <xf borderId="9" fillId="7" fontId="41" numFmtId="0" xfId="0" applyAlignment="1" applyBorder="1" applyFont="1">
      <alignment horizontal="center" vertical="center"/>
    </xf>
    <xf borderId="9" fillId="7" fontId="19" numFmtId="0" xfId="0" applyAlignment="1" applyBorder="1" applyFont="1">
      <alignment horizontal="left" vertical="center"/>
    </xf>
    <xf borderId="30" fillId="0" fontId="25" numFmtId="0" xfId="0" applyAlignment="1" applyBorder="1" applyFont="1">
      <alignment horizontal="center" readingOrder="0" vertical="center"/>
    </xf>
    <xf borderId="30" fillId="29" fontId="25" numFmtId="0" xfId="0" applyAlignment="1" applyBorder="1" applyFill="1" applyFont="1">
      <alignment horizontal="center" readingOrder="0" vertical="center"/>
    </xf>
    <xf borderId="0" fillId="29" fontId="25" numFmtId="0" xfId="0" applyAlignment="1" applyFont="1">
      <alignment horizontal="center" readingOrder="0" vertical="center"/>
    </xf>
    <xf borderId="9" fillId="0" fontId="17" numFmtId="0" xfId="0" applyAlignment="1" applyBorder="1" applyFont="1">
      <alignment horizontal="center" readingOrder="0" vertical="bottom"/>
    </xf>
    <xf borderId="9" fillId="0" fontId="17" numFmtId="0" xfId="0" applyAlignment="1" applyBorder="1" applyFont="1">
      <alignment horizontal="center" vertical="bottom"/>
    </xf>
    <xf borderId="9" fillId="0" fontId="1" numFmtId="0" xfId="0" applyAlignment="1" applyBorder="1" applyFont="1">
      <alignment vertical="bottom"/>
    </xf>
    <xf borderId="9" fillId="0" fontId="19" numFmtId="0" xfId="0" applyAlignment="1" applyBorder="1" applyFont="1">
      <alignment vertical="bottom"/>
    </xf>
    <xf borderId="9" fillId="4" fontId="17" numFmtId="0" xfId="0" applyAlignment="1" applyBorder="1" applyFont="1">
      <alignment horizontal="center" vertical="center"/>
    </xf>
    <xf borderId="9" fillId="4" fontId="17" numFmtId="0" xfId="0" applyAlignment="1" applyBorder="1" applyFont="1">
      <alignment horizontal="center" vertical="bottom"/>
    </xf>
    <xf borderId="9" fillId="4" fontId="1" numFmtId="0" xfId="0" applyAlignment="1" applyBorder="1" applyFont="1">
      <alignment vertical="bottom"/>
    </xf>
    <xf borderId="9" fillId="4" fontId="19" numFmtId="0" xfId="0" applyAlignment="1" applyBorder="1" applyFont="1">
      <alignment vertical="bottom"/>
    </xf>
    <xf borderId="9" fillId="30" fontId="17" numFmtId="0" xfId="0" applyAlignment="1" applyBorder="1" applyFill="1" applyFont="1">
      <alignment horizontal="center" vertical="bottom"/>
    </xf>
    <xf borderId="9" fillId="30" fontId="2" numFmtId="0" xfId="0" applyAlignment="1" applyBorder="1" applyFont="1">
      <alignment readingOrder="0"/>
    </xf>
    <xf borderId="9" fillId="30" fontId="1" numFmtId="0" xfId="0" applyAlignment="1" applyBorder="1" applyFont="1">
      <alignment vertical="bottom"/>
    </xf>
    <xf borderId="9" fillId="30" fontId="18" numFmtId="0" xfId="0" applyAlignment="1" applyBorder="1" applyFont="1">
      <alignment horizontal="left" vertical="bottom"/>
    </xf>
    <xf borderId="33" fillId="0" fontId="1" numFmtId="0" xfId="0" applyAlignment="1" applyBorder="1" applyFont="1">
      <alignment horizontal="center" vertical="center"/>
    </xf>
    <xf borderId="33" fillId="0" fontId="19" numFmtId="0" xfId="0" applyAlignment="1" applyBorder="1" applyFont="1">
      <alignment horizontal="left" vertical="center"/>
    </xf>
    <xf borderId="0" fillId="5" fontId="19" numFmtId="0" xfId="0" applyAlignment="1" applyFont="1">
      <alignment vertical="bottom"/>
    </xf>
    <xf borderId="34" fillId="0" fontId="22" numFmtId="0" xfId="0" applyAlignment="1" applyBorder="1" applyFont="1">
      <alignment horizontal="center" readingOrder="0" shrinkToFit="0" vertical="center" wrapText="1"/>
    </xf>
    <xf borderId="9" fillId="0" fontId="22" numFmtId="0" xfId="0" applyAlignment="1" applyBorder="1" applyFont="1">
      <alignment horizontal="center" readingOrder="0" shrinkToFit="0" vertical="center" wrapText="1"/>
    </xf>
    <xf borderId="9" fillId="19" fontId="23" numFmtId="0" xfId="0" applyAlignment="1" applyBorder="1" applyFont="1">
      <alignment horizontal="center"/>
    </xf>
    <xf borderId="9" fillId="0" fontId="15" numFmtId="0" xfId="0" applyAlignment="1" applyBorder="1" applyFont="1">
      <alignment horizontal="center" readingOrder="0" vertical="center"/>
    </xf>
    <xf borderId="31" fillId="18" fontId="2" numFmtId="0" xfId="0" applyAlignment="1" applyBorder="1" applyFont="1">
      <alignment readingOrder="0"/>
    </xf>
    <xf borderId="9" fillId="0" fontId="24" numFmtId="0" xfId="0" applyAlignment="1" applyBorder="1" applyFont="1">
      <alignment horizontal="center" readingOrder="0"/>
    </xf>
    <xf borderId="9" fillId="0" fontId="42" numFmtId="0" xfId="0" applyAlignment="1" applyBorder="1" applyFont="1">
      <alignment horizontal="left" readingOrder="0"/>
    </xf>
    <xf borderId="32" fillId="31" fontId="43" numFmtId="0" xfId="0" applyAlignment="1" applyBorder="1" applyFill="1" applyFont="1">
      <alignment horizontal="center" readingOrder="0" vertical="center"/>
    </xf>
    <xf borderId="33" fillId="31" fontId="20" numFmtId="0" xfId="0" applyAlignment="1" applyBorder="1" applyFont="1">
      <alignment readingOrder="0"/>
    </xf>
    <xf borderId="36" fillId="31" fontId="18" numFmtId="0" xfId="0" applyAlignment="1" applyBorder="1" applyFont="1">
      <alignment horizontal="left" readingOrder="0" vertical="center"/>
    </xf>
    <xf borderId="30" fillId="0" fontId="44" numFmtId="0" xfId="0" applyAlignment="1" applyBorder="1" applyFont="1">
      <alignment horizontal="center" vertical="center"/>
    </xf>
    <xf borderId="9" fillId="0" fontId="23" numFmtId="0" xfId="0" applyAlignment="1" applyBorder="1" applyFont="1">
      <alignment horizontal="center" vertical="center"/>
    </xf>
    <xf borderId="9" fillId="0" fontId="24" numFmtId="0" xfId="0" applyAlignment="1" applyBorder="1" applyFont="1">
      <alignment horizontal="center"/>
    </xf>
    <xf borderId="9" fillId="0" fontId="24" numFmtId="0" xfId="0" applyBorder="1" applyFont="1"/>
    <xf borderId="9" fillId="0" fontId="19" numFmtId="0" xfId="0" applyAlignment="1" applyBorder="1" applyFont="1">
      <alignment readingOrder="0"/>
    </xf>
    <xf borderId="0" fillId="0" fontId="1" numFmtId="0" xfId="0" applyFont="1"/>
    <xf borderId="0" fillId="4" fontId="1" numFmtId="0" xfId="0" applyAlignment="1" applyFont="1">
      <alignment readingOrder="0"/>
    </xf>
    <xf borderId="0" fillId="0" fontId="24" numFmtId="0" xfId="0" applyAlignment="1" applyFont="1">
      <alignment horizontal="center" readingOrder="0"/>
    </xf>
    <xf borderId="34" fillId="0" fontId="44" numFmtId="0" xfId="0" applyAlignment="1" applyBorder="1" applyFont="1">
      <alignment horizontal="center" vertical="center"/>
    </xf>
    <xf borderId="30" fillId="21" fontId="25" numFmtId="0" xfId="0" applyAlignment="1" applyBorder="1" applyFont="1">
      <alignment horizontal="center" readingOrder="0" vertical="center"/>
    </xf>
    <xf borderId="34" fillId="0" fontId="22" numFmtId="0" xfId="0" applyAlignment="1" applyBorder="1" applyFont="1">
      <alignment horizontal="center" readingOrder="0" vertical="center"/>
    </xf>
    <xf borderId="9" fillId="5" fontId="18" numFmtId="0" xfId="0" applyAlignment="1" applyBorder="1" applyFont="1">
      <alignment horizontal="left" readingOrder="0"/>
    </xf>
    <xf borderId="9" fillId="0" fontId="18" numFmtId="0" xfId="0" applyAlignment="1" applyBorder="1" applyFont="1">
      <alignment vertical="bottom"/>
    </xf>
    <xf borderId="35" fillId="0" fontId="2" numFmtId="0" xfId="0" applyBorder="1" applyFont="1"/>
    <xf borderId="0" fillId="6" fontId="20" numFmtId="0" xfId="0" applyAlignment="1" applyFont="1">
      <alignment horizontal="left" readingOrder="0" vertical="center"/>
    </xf>
    <xf borderId="31" fillId="0" fontId="2" numFmtId="0" xfId="0" applyBorder="1" applyFont="1"/>
    <xf borderId="33" fillId="0" fontId="18" numFmtId="0" xfId="0" applyAlignment="1" applyBorder="1" applyFont="1">
      <alignment vertical="bottom"/>
    </xf>
    <xf borderId="36" fillId="0" fontId="2" numFmtId="0" xfId="0" applyBorder="1" applyFont="1"/>
    <xf borderId="0" fillId="7" fontId="40" numFmtId="0" xfId="0" applyAlignment="1" applyFont="1">
      <alignment horizontal="center" readingOrder="0" vertical="center"/>
    </xf>
    <xf borderId="0" fillId="7" fontId="41" numFmtId="0" xfId="0" applyAlignment="1" applyFont="1">
      <alignment horizontal="center" vertical="center"/>
    </xf>
    <xf borderId="0" fillId="7" fontId="19" numFmtId="0" xfId="0" applyAlignment="1" applyFont="1">
      <alignment horizontal="left" vertical="center"/>
    </xf>
    <xf borderId="33" fillId="0" fontId="24" numFmtId="0" xfId="0" applyAlignment="1" applyBorder="1" applyFont="1">
      <alignment horizontal="left" readingOrder="0"/>
    </xf>
    <xf borderId="0" fillId="0" fontId="45" numFmtId="0" xfId="0" applyAlignment="1" applyFont="1">
      <alignment horizontal="center" readingOrder="0" vertical="center"/>
    </xf>
    <xf borderId="0" fillId="0" fontId="40" numFmtId="0" xfId="0" applyAlignment="1" applyFont="1">
      <alignment horizontal="center" vertical="center"/>
    </xf>
    <xf borderId="0" fillId="0" fontId="40" numFmtId="0" xfId="0" applyAlignment="1" applyFont="1">
      <alignment horizontal="center" readingOrder="0" vertical="center"/>
    </xf>
    <xf borderId="9" fillId="5" fontId="19" numFmtId="0" xfId="0" applyAlignment="1" applyBorder="1" applyFont="1">
      <alignment vertical="bottom"/>
    </xf>
    <xf borderId="9" fillId="19" fontId="25" numFmtId="0" xfId="0" applyAlignment="1" applyBorder="1" applyFont="1">
      <alignment horizontal="center" vertical="center"/>
    </xf>
    <xf borderId="34" fillId="0" fontId="25" numFmtId="0" xfId="0" applyAlignment="1" applyBorder="1" applyFont="1">
      <alignment horizontal="center" vertical="center"/>
    </xf>
    <xf borderId="36" fillId="5" fontId="2" numFmtId="0" xfId="0" applyAlignment="1" applyBorder="1" applyFont="1">
      <alignment readingOrder="0"/>
    </xf>
    <xf borderId="0" fillId="0" fontId="25" numFmtId="0" xfId="0" applyAlignment="1" applyFont="1">
      <alignment horizontal="center" vertical="center"/>
    </xf>
    <xf borderId="48" fillId="0" fontId="25" numFmtId="0" xfId="0" applyAlignment="1" applyBorder="1" applyFont="1">
      <alignment horizontal="center" readingOrder="0" vertical="center"/>
    </xf>
    <xf borderId="48" fillId="0" fontId="16" numFmtId="0" xfId="0" applyAlignment="1" applyBorder="1" applyFont="1">
      <alignment horizontal="center" vertical="center"/>
    </xf>
    <xf borderId="48" fillId="0" fontId="20" numFmtId="0" xfId="0" applyAlignment="1" applyBorder="1" applyFont="1">
      <alignment readingOrder="0"/>
    </xf>
    <xf borderId="47" fillId="0" fontId="25" numFmtId="0" xfId="0" applyAlignment="1" applyBorder="1" applyFont="1">
      <alignment horizontal="center" readingOrder="0" vertical="center"/>
    </xf>
    <xf borderId="48" fillId="0" fontId="22" numFmtId="0" xfId="0" applyAlignment="1" applyBorder="1" applyFont="1">
      <alignment horizontal="center" readingOrder="0" vertical="center"/>
    </xf>
    <xf borderId="48" fillId="0" fontId="20" numFmtId="0" xfId="0" applyAlignment="1" applyBorder="1" applyFont="1">
      <alignment readingOrder="0" shrinkToFit="0" wrapText="0"/>
    </xf>
    <xf borderId="49" fillId="0" fontId="18" numFmtId="0" xfId="0" applyAlignment="1" applyBorder="1" applyFont="1">
      <alignment horizontal="left" vertical="bottom"/>
    </xf>
    <xf borderId="34" fillId="0" fontId="22" numFmtId="0" xfId="0" applyAlignment="1" applyBorder="1" applyFont="1">
      <alignment horizontal="center" readingOrder="0"/>
    </xf>
    <xf borderId="9" fillId="0" fontId="22" numFmtId="0" xfId="0" applyAlignment="1" applyBorder="1" applyFont="1">
      <alignment horizontal="center" readingOrder="0" shrinkToFit="0" wrapText="0"/>
    </xf>
    <xf borderId="33" fillId="7" fontId="24" numFmtId="0" xfId="0" applyAlignment="1" applyBorder="1" applyFont="1">
      <alignment horizontal="center" vertical="bottom"/>
    </xf>
    <xf borderId="36" fillId="7" fontId="2" numFmtId="0" xfId="0" applyAlignment="1" applyBorder="1" applyFont="1">
      <alignment readingOrder="0"/>
    </xf>
    <xf borderId="0" fillId="19" fontId="23" numFmtId="0" xfId="0" applyAlignment="1" applyFont="1">
      <alignment horizontal="center"/>
    </xf>
    <xf borderId="47" fillId="0" fontId="15" numFmtId="0" xfId="0" applyAlignment="1" applyBorder="1" applyFont="1">
      <alignment horizontal="center" readingOrder="0"/>
    </xf>
    <xf borderId="48" fillId="0" fontId="15" numFmtId="0" xfId="0" applyAlignment="1" applyBorder="1" applyFont="1">
      <alignment horizontal="center" readingOrder="0"/>
    </xf>
    <xf borderId="48" fillId="0" fontId="24" numFmtId="0" xfId="0" applyAlignment="1" applyBorder="1" applyFont="1">
      <alignment horizontal="center" readingOrder="0"/>
    </xf>
    <xf borderId="48" fillId="0" fontId="17" numFmtId="0" xfId="0" applyAlignment="1" applyBorder="1" applyFont="1">
      <alignment horizontal="center" readingOrder="0"/>
    </xf>
    <xf borderId="48" fillId="0" fontId="20" numFmtId="0" xfId="0" applyAlignment="1" applyBorder="1" applyFont="1">
      <alignment horizontal="left" readingOrder="0"/>
    </xf>
    <xf borderId="47" fillId="0" fontId="22" numFmtId="0" xfId="0" applyAlignment="1" applyBorder="1" applyFont="1">
      <alignment horizontal="center" readingOrder="0" vertical="center"/>
    </xf>
    <xf borderId="48" fillId="4" fontId="17" numFmtId="0" xfId="0" applyAlignment="1" applyBorder="1" applyFont="1">
      <alignment horizontal="center" vertical="center"/>
    </xf>
    <xf borderId="48" fillId="4" fontId="17" numFmtId="0" xfId="0" applyAlignment="1" applyBorder="1" applyFont="1">
      <alignment horizontal="center" vertical="bottom"/>
    </xf>
    <xf borderId="48" fillId="4" fontId="2" numFmtId="0" xfId="0" applyAlignment="1" applyBorder="1" applyFont="1">
      <alignment readingOrder="0"/>
    </xf>
    <xf borderId="48" fillId="4" fontId="1" numFmtId="0" xfId="0" applyAlignment="1" applyBorder="1" applyFont="1">
      <alignment vertical="bottom"/>
    </xf>
    <xf borderId="48" fillId="4" fontId="19" numFmtId="0" xfId="0" applyAlignment="1" applyBorder="1" applyFont="1">
      <alignment vertical="bottom"/>
    </xf>
    <xf borderId="32" fillId="0" fontId="22" numFmtId="0" xfId="0" applyAlignment="1" applyBorder="1" applyFont="1">
      <alignment horizontal="center" readingOrder="0" vertical="center"/>
    </xf>
    <xf borderId="33" fillId="0" fontId="22" numFmtId="0" xfId="0" applyAlignment="1" applyBorder="1" applyFont="1">
      <alignment horizontal="center" readingOrder="0" vertical="center"/>
    </xf>
    <xf borderId="33" fillId="0" fontId="16" numFmtId="0" xfId="0" applyAlignment="1" applyBorder="1" applyFont="1">
      <alignment horizontal="center" vertical="center"/>
    </xf>
    <xf borderId="33" fillId="32" fontId="17" numFmtId="0" xfId="0" applyAlignment="1" applyBorder="1" applyFill="1" applyFont="1">
      <alignment horizontal="center" readingOrder="0" vertical="center"/>
    </xf>
    <xf borderId="0" fillId="0" fontId="22" numFmtId="0" xfId="0" applyAlignment="1" applyFont="1">
      <alignment horizontal="center" readingOrder="0"/>
    </xf>
    <xf borderId="0" fillId="0" fontId="26" numFmtId="0" xfId="0" applyAlignment="1" applyFont="1">
      <alignment horizontal="center" readingOrder="0" vertical="top"/>
    </xf>
    <xf borderId="0" fillId="32" fontId="17" numFmtId="0" xfId="0" applyAlignment="1" applyFont="1">
      <alignment horizontal="center" readingOrder="0" vertical="center"/>
    </xf>
    <xf borderId="48" fillId="0" fontId="26" numFmtId="0" xfId="0" applyAlignment="1" applyBorder="1" applyFont="1">
      <alignment horizontal="center" readingOrder="0" vertical="center"/>
    </xf>
    <xf borderId="48" fillId="32" fontId="17" numFmtId="0" xfId="0" applyAlignment="1" applyBorder="1" applyFont="1">
      <alignment horizontal="center" readingOrder="0" vertical="center"/>
    </xf>
    <xf borderId="48" fillId="0" fontId="5" numFmtId="0" xfId="0" applyBorder="1" applyFont="1"/>
    <xf borderId="49" fillId="0" fontId="5" numFmtId="0" xfId="0" applyBorder="1" applyFont="1"/>
    <xf borderId="33" fillId="32" fontId="17" numFmtId="0" xfId="0" applyAlignment="1" applyBorder="1" applyFont="1">
      <alignment horizontal="center" readingOrder="0"/>
    </xf>
    <xf borderId="9" fillId="0" fontId="16" numFmtId="0" xfId="0" applyAlignment="1" applyBorder="1" applyFont="1">
      <alignment horizontal="center" readingOrder="0" vertical="center"/>
    </xf>
    <xf borderId="9" fillId="32" fontId="17" numFmtId="0" xfId="0" applyAlignment="1" applyBorder="1" applyFont="1">
      <alignment horizontal="center" readingOrder="0"/>
    </xf>
    <xf borderId="35" fillId="0" fontId="5" numFmtId="0" xfId="0" applyBorder="1" applyFont="1"/>
    <xf borderId="48" fillId="32" fontId="17" numFmtId="0" xfId="0" applyAlignment="1" applyBorder="1" applyFont="1">
      <alignment horizontal="center" readingOrder="0"/>
    </xf>
    <xf borderId="48" fillId="0" fontId="18" numFmtId="0" xfId="0" applyAlignment="1" applyBorder="1" applyFont="1">
      <alignment vertical="bottom"/>
    </xf>
    <xf borderId="49" fillId="0" fontId="2" numFmtId="0" xfId="0" applyBorder="1" applyFont="1"/>
    <xf borderId="34" fillId="0" fontId="44" numFmtId="0" xfId="0" applyAlignment="1" applyBorder="1" applyFont="1">
      <alignment horizontal="center" vertical="bottom"/>
    </xf>
    <xf borderId="9" fillId="0" fontId="44" numFmtId="0" xfId="0" applyAlignment="1" applyBorder="1" applyFont="1">
      <alignment horizontal="center" vertical="bottom"/>
    </xf>
    <xf borderId="9" fillId="32" fontId="24" numFmtId="0" xfId="0" applyAlignment="1" applyBorder="1" applyFont="1">
      <alignment horizontal="center" vertical="bottom"/>
    </xf>
    <xf borderId="48" fillId="32" fontId="24" numFmtId="0" xfId="0" applyAlignment="1" applyBorder="1" applyFont="1">
      <alignment horizontal="center" vertical="bottom"/>
    </xf>
    <xf borderId="0" fillId="32" fontId="24" numFmtId="0" xfId="0" applyAlignment="1" applyFont="1">
      <alignment horizontal="center" vertical="bottom"/>
    </xf>
    <xf borderId="34" fillId="0" fontId="25" numFmtId="0" xfId="0" applyAlignment="1" applyBorder="1" applyFont="1">
      <alignment horizontal="center"/>
    </xf>
    <xf borderId="9" fillId="0" fontId="25" numFmtId="0" xfId="0" applyAlignment="1" applyBorder="1" applyFont="1">
      <alignment horizontal="center"/>
    </xf>
    <xf borderId="0" fillId="0" fontId="46" numFmtId="0" xfId="0" applyAlignment="1" applyFont="1">
      <alignment vertical="top"/>
    </xf>
    <xf borderId="0" fillId="5" fontId="18" numFmtId="0" xfId="0" applyAlignment="1" applyFont="1">
      <alignment horizontal="left" readingOrder="0"/>
    </xf>
    <xf borderId="9" fillId="0" fontId="24" numFmtId="0" xfId="0" applyAlignment="1" applyBorder="1" applyFont="1">
      <alignment horizontal="center" readingOrder="0" vertical="center"/>
    </xf>
    <xf borderId="35" fillId="0" fontId="18" numFmtId="0" xfId="0" applyAlignment="1" applyBorder="1" applyFont="1">
      <alignment vertical="bottom"/>
    </xf>
    <xf borderId="0" fillId="0" fontId="24" numFmtId="0" xfId="0" applyAlignment="1" applyFont="1">
      <alignment horizontal="center" vertical="center"/>
    </xf>
    <xf borderId="31" fillId="0" fontId="18" numFmtId="0" xfId="0" applyAlignment="1" applyBorder="1" applyFont="1">
      <alignment vertical="bottom"/>
    </xf>
    <xf borderId="0" fillId="8" fontId="24" numFmtId="0" xfId="0" applyAlignment="1" applyFont="1">
      <alignment horizontal="center" vertical="center"/>
    </xf>
    <xf borderId="0" fillId="8" fontId="24" numFmtId="0" xfId="0" applyAlignment="1" applyFont="1">
      <alignment horizontal="center" vertical="bottom"/>
    </xf>
    <xf borderId="31" fillId="8" fontId="18" numFmtId="0" xfId="0" applyAlignment="1" applyBorder="1" applyFont="1">
      <alignment readingOrder="0"/>
    </xf>
    <xf borderId="0" fillId="11" fontId="24" numFmtId="0" xfId="0" applyAlignment="1" applyFont="1">
      <alignment horizontal="center" vertical="center"/>
    </xf>
    <xf borderId="0" fillId="11" fontId="24" numFmtId="0" xfId="0" applyAlignment="1" applyFont="1">
      <alignment horizontal="center" vertical="bottom"/>
    </xf>
    <xf borderId="31" fillId="11" fontId="18" numFmtId="0" xfId="0" applyAlignment="1" applyBorder="1" applyFont="1">
      <alignment readingOrder="0"/>
    </xf>
    <xf borderId="48" fillId="0" fontId="16" numFmtId="0" xfId="0" applyAlignment="1" applyBorder="1" applyFont="1">
      <alignment horizontal="center" readingOrder="0" vertical="center"/>
    </xf>
    <xf borderId="9" fillId="0" fontId="21" numFmtId="0" xfId="0" applyAlignment="1" applyBorder="1" applyFont="1">
      <alignment horizontal="center" readingOrder="0" vertical="center"/>
    </xf>
    <xf borderId="49" fillId="0" fontId="18" numFmtId="0" xfId="0" applyAlignment="1" applyBorder="1" applyFont="1">
      <alignment vertical="bottom"/>
    </xf>
    <xf borderId="31" fillId="9" fontId="18" numFmtId="0" xfId="0" applyAlignment="1" applyBorder="1" applyFont="1">
      <alignment readingOrder="0"/>
    </xf>
    <xf borderId="0" fillId="7" fontId="24" numFmtId="0" xfId="0" applyAlignment="1" applyFont="1">
      <alignment horizontal="center" vertical="center"/>
    </xf>
    <xf borderId="0" fillId="7" fontId="20" numFmtId="0" xfId="0" applyAlignment="1" applyFont="1">
      <alignment vertical="bottom"/>
    </xf>
    <xf borderId="31" fillId="7" fontId="18" numFmtId="0" xfId="0" applyAlignment="1" applyBorder="1" applyFont="1">
      <alignment readingOrder="0"/>
    </xf>
    <xf borderId="36" fillId="0" fontId="18" numFmtId="0" xfId="0" applyAlignment="1" applyBorder="1" applyFont="1">
      <alignment vertical="bottom"/>
    </xf>
    <xf borderId="35" fillId="5" fontId="18" numFmtId="0" xfId="0" applyAlignment="1" applyBorder="1" applyFont="1">
      <alignment readingOrder="0"/>
    </xf>
    <xf borderId="0" fillId="0" fontId="47" numFmtId="0" xfId="0" applyAlignment="1" applyFont="1">
      <alignment horizontal="left" readingOrder="0"/>
    </xf>
    <xf borderId="9" fillId="0" fontId="21" numFmtId="0" xfId="0" applyAlignment="1" applyBorder="1" applyFont="1">
      <alignment horizontal="left" readingOrder="0"/>
    </xf>
    <xf borderId="33" fillId="0" fontId="21" numFmtId="0" xfId="0" applyAlignment="1" applyBorder="1" applyFont="1">
      <alignment horizontal="left" readingOrder="0"/>
    </xf>
    <xf borderId="9" fillId="0" fontId="22" numFmtId="0" xfId="0" applyAlignment="1" applyBorder="1" applyFont="1">
      <alignment horizontal="center" vertical="center"/>
    </xf>
    <xf borderId="0" fillId="0" fontId="24" numFmtId="0" xfId="0" applyAlignment="1" applyFont="1">
      <alignment horizontal="center" readingOrder="0" vertical="center"/>
    </xf>
    <xf borderId="0" fillId="0" fontId="24" numFmtId="0" xfId="0" applyAlignment="1" applyFont="1">
      <alignment horizontal="center" vertical="bottom"/>
    </xf>
    <xf borderId="31" fillId="0" fontId="18" numFmtId="0" xfId="0" applyAlignment="1" applyBorder="1" applyFont="1">
      <alignment readingOrder="0"/>
    </xf>
    <xf borderId="33" fillId="23" fontId="1" numFmtId="0" xfId="0" applyAlignment="1" applyBorder="1" applyFont="1">
      <alignment vertical="bottom"/>
    </xf>
    <xf borderId="35" fillId="0" fontId="18" numFmtId="0" xfId="0" applyAlignment="1" applyBorder="1" applyFont="1">
      <alignment horizontal="center" readingOrder="0"/>
    </xf>
    <xf borderId="0" fillId="23" fontId="1" numFmtId="0" xfId="0" applyAlignment="1" applyFont="1">
      <alignment vertical="bottom"/>
    </xf>
    <xf borderId="31" fillId="0" fontId="18" numFmtId="0" xfId="0" applyAlignment="1" applyBorder="1" applyFont="1">
      <alignment horizontal="center" readingOrder="0"/>
    </xf>
    <xf borderId="36" fillId="0" fontId="18" numFmtId="0" xfId="0" applyAlignment="1" applyBorder="1" applyFont="1">
      <alignment horizontal="center" readingOrder="0"/>
    </xf>
    <xf borderId="33" fillId="0" fontId="24" numFmtId="0" xfId="0" applyAlignment="1" applyBorder="1" applyFont="1">
      <alignment horizontal="center" readingOrder="0" vertical="center"/>
    </xf>
    <xf borderId="9" fillId="0" fontId="48" numFmtId="0" xfId="0" applyAlignment="1" applyBorder="1" applyFont="1">
      <alignment readingOrder="0"/>
    </xf>
    <xf borderId="35" fillId="9" fontId="18" numFmtId="0" xfId="0" applyAlignment="1" applyBorder="1" applyFont="1">
      <alignment readingOrder="0"/>
    </xf>
    <xf borderId="0" fillId="0" fontId="49" numFmtId="0" xfId="0" applyAlignment="1" applyFont="1">
      <alignment horizontal="center" readingOrder="0"/>
    </xf>
    <xf borderId="33" fillId="0" fontId="49" numFmtId="0" xfId="0" applyAlignment="1" applyBorder="1" applyFont="1">
      <alignment horizontal="center" readingOrder="0"/>
    </xf>
    <xf borderId="47" fillId="18" fontId="27" numFmtId="0" xfId="0" applyAlignment="1" applyBorder="1" applyFont="1">
      <alignment horizontal="center" readingOrder="0" vertical="center"/>
    </xf>
    <xf borderId="35" fillId="18" fontId="29" numFmtId="0" xfId="0" applyAlignment="1" applyBorder="1" applyFont="1">
      <alignment vertical="center"/>
    </xf>
    <xf borderId="0" fillId="30" fontId="24" numFmtId="0" xfId="0" applyAlignment="1" applyFont="1">
      <alignment horizontal="center" vertical="bottom"/>
    </xf>
    <xf borderId="0" fillId="30" fontId="1" numFmtId="0" xfId="0" applyAlignment="1" applyFont="1">
      <alignment horizontal="center" vertical="bottom"/>
    </xf>
    <xf borderId="0" fillId="30" fontId="2" numFmtId="0" xfId="0" applyAlignment="1" applyFont="1">
      <alignment readingOrder="0"/>
    </xf>
    <xf borderId="0" fillId="30" fontId="1" numFmtId="0" xfId="0" applyAlignment="1" applyFont="1">
      <alignment vertical="bottom"/>
    </xf>
    <xf borderId="0" fillId="6" fontId="18" numFmtId="0" xfId="0" applyAlignment="1" applyFont="1">
      <alignment readingOrder="0"/>
    </xf>
    <xf borderId="9" fillId="0" fontId="25" numFmtId="0" xfId="0" applyAlignment="1" applyBorder="1" applyFont="1">
      <alignment horizontal="center" vertical="center"/>
    </xf>
    <xf borderId="9" fillId="33" fontId="23" numFmtId="0" xfId="0" applyAlignment="1" applyBorder="1" applyFill="1" applyFont="1">
      <alignment horizontal="center" vertical="center"/>
    </xf>
    <xf borderId="9" fillId="30" fontId="24" numFmtId="0" xfId="0" applyAlignment="1" applyBorder="1" applyFont="1">
      <alignment horizontal="center"/>
    </xf>
    <xf borderId="35" fillId="30" fontId="18" numFmtId="0" xfId="0" applyAlignment="1" applyBorder="1" applyFont="1">
      <alignment vertical="bottom"/>
    </xf>
    <xf borderId="0" fillId="34" fontId="24" numFmtId="0" xfId="0" applyAlignment="1" applyFill="1" applyFont="1">
      <alignment horizontal="center"/>
    </xf>
    <xf borderId="0" fillId="34" fontId="1" numFmtId="0" xfId="0" applyFont="1"/>
    <xf borderId="31" fillId="34" fontId="18" numFmtId="0" xfId="0" applyAlignment="1" applyBorder="1" applyFont="1">
      <alignment vertical="bottom"/>
    </xf>
    <xf borderId="0" fillId="35" fontId="24" numFmtId="0" xfId="0" applyAlignment="1" applyFill="1" applyFont="1">
      <alignment horizontal="center"/>
    </xf>
    <xf borderId="0" fillId="35" fontId="1" numFmtId="0" xfId="0" applyFont="1"/>
    <xf borderId="31" fillId="35" fontId="18" numFmtId="0" xfId="0" applyAlignment="1" applyBorder="1" applyFont="1">
      <alignment vertical="bottom"/>
    </xf>
    <xf borderId="0" fillId="27" fontId="24" numFmtId="0" xfId="0" applyAlignment="1" applyFont="1">
      <alignment horizontal="center"/>
    </xf>
    <xf borderId="0" fillId="27" fontId="1" numFmtId="0" xfId="0" applyAlignment="1" applyFont="1">
      <alignment vertical="bottom"/>
    </xf>
    <xf borderId="31" fillId="27" fontId="18" numFmtId="0" xfId="0" applyAlignment="1" applyBorder="1" applyFont="1">
      <alignment vertical="bottom"/>
    </xf>
    <xf borderId="33" fillId="22" fontId="1" numFmtId="0" xfId="0" applyAlignment="1" applyBorder="1" applyFont="1">
      <alignment vertical="bottom"/>
    </xf>
    <xf borderId="36" fillId="22" fontId="18" numFmtId="0" xfId="0" applyAlignment="1" applyBorder="1" applyFont="1">
      <alignment vertical="bottom"/>
    </xf>
    <xf borderId="34" fillId="0" fontId="50" numFmtId="0" xfId="0" applyAlignment="1" applyBorder="1" applyFont="1">
      <alignment horizontal="center" readingOrder="0" vertical="center"/>
    </xf>
    <xf borderId="33" fillId="0" fontId="19" numFmtId="0" xfId="0" applyAlignment="1" applyBorder="1" applyFont="1">
      <alignment horizontal="left" readingOrder="0"/>
    </xf>
    <xf borderId="9" fillId="30" fontId="17" numFmtId="0" xfId="0" applyAlignment="1" applyBorder="1" applyFont="1">
      <alignment horizontal="center" vertical="center"/>
    </xf>
    <xf borderId="9" fillId="6" fontId="1" numFmtId="0" xfId="0" applyAlignment="1" applyBorder="1" applyFont="1">
      <alignment vertical="bottom"/>
    </xf>
    <xf borderId="35" fillId="6" fontId="18" numFmtId="0" xfId="0" applyAlignment="1" applyBorder="1" applyFont="1">
      <alignment horizontal="left" readingOrder="0"/>
    </xf>
    <xf borderId="0" fillId="6" fontId="17" numFmtId="0" xfId="0" applyAlignment="1" applyFont="1">
      <alignment horizontal="center" vertical="bottom"/>
    </xf>
    <xf borderId="31" fillId="6" fontId="18" numFmtId="0" xfId="0" applyAlignment="1" applyBorder="1" applyFont="1">
      <alignment horizontal="left" readingOrder="0"/>
    </xf>
    <xf borderId="35" fillId="30" fontId="18" numFmtId="0" xfId="0" applyAlignment="1" applyBorder="1" applyFont="1">
      <alignment horizontal="left" vertical="bottom"/>
    </xf>
    <xf borderId="0" fillId="0" fontId="1" numFmtId="0" xfId="0" applyAlignment="1" applyFont="1">
      <alignment readingOrder="0"/>
    </xf>
    <xf borderId="9" fillId="30" fontId="24" numFmtId="0" xfId="0" applyAlignment="1" applyBorder="1" applyFont="1">
      <alignment horizontal="center" vertical="center"/>
    </xf>
    <xf borderId="9" fillId="30" fontId="1" numFmtId="0" xfId="0" applyAlignment="1" applyBorder="1" applyFont="1">
      <alignment horizontal="center" vertical="bottom"/>
    </xf>
    <xf borderId="35" fillId="6" fontId="18" numFmtId="0" xfId="0" applyAlignment="1" applyBorder="1" applyFont="1">
      <alignment readingOrder="0"/>
    </xf>
    <xf borderId="31" fillId="6" fontId="18" numFmtId="0" xfId="0" applyAlignment="1" applyBorder="1" applyFont="1">
      <alignment readingOrder="0"/>
    </xf>
    <xf borderId="33" fillId="0" fontId="21" numFmtId="0" xfId="0" applyAlignment="1" applyBorder="1" applyFont="1">
      <alignment horizontal="center" readingOrder="0" vertical="center"/>
    </xf>
    <xf borderId="30" fillId="21" fontId="34" numFmtId="0" xfId="0" applyAlignment="1" applyBorder="1" applyFont="1">
      <alignment horizontal="center" readingOrder="0" vertical="center"/>
    </xf>
    <xf borderId="31" fillId="21" fontId="18" numFmtId="0" xfId="0" applyAlignment="1" applyBorder="1" applyFont="1">
      <alignment horizontal="center" readingOrder="0" vertical="center"/>
    </xf>
    <xf borderId="9" fillId="9" fontId="18" numFmtId="0" xfId="0" applyAlignment="1" applyBorder="1" applyFont="1">
      <alignment readingOrder="0"/>
    </xf>
    <xf borderId="0" fillId="0" fontId="18" numFmtId="0" xfId="0" applyAlignment="1" applyFont="1">
      <alignment readingOrder="0"/>
    </xf>
    <xf borderId="9" fillId="36" fontId="23" numFmtId="0" xfId="0" applyAlignment="1" applyBorder="1" applyFill="1" applyFont="1">
      <alignment horizontal="center" vertical="center"/>
    </xf>
    <xf borderId="9" fillId="26" fontId="24" numFmtId="0" xfId="0" applyAlignment="1" applyBorder="1" applyFont="1">
      <alignment horizontal="center" vertical="bottom"/>
    </xf>
    <xf borderId="9" fillId="26" fontId="1" numFmtId="0" xfId="0" applyAlignment="1" applyBorder="1" applyFont="1">
      <alignment vertical="bottom"/>
    </xf>
    <xf borderId="0" fillId="37" fontId="24" numFmtId="0" xfId="0" applyAlignment="1" applyFill="1" applyFont="1">
      <alignment horizontal="center" vertical="bottom"/>
    </xf>
    <xf borderId="0" fillId="37" fontId="1" numFmtId="0" xfId="0" applyAlignment="1" applyFont="1">
      <alignment vertical="bottom"/>
    </xf>
    <xf borderId="31" fillId="37" fontId="1" numFmtId="0" xfId="0" applyAlignment="1" applyBorder="1" applyFont="1">
      <alignment vertical="bottom"/>
    </xf>
    <xf borderId="0" fillId="30" fontId="24" numFmtId="0" xfId="0" applyAlignment="1" applyFont="1">
      <alignment horizontal="center"/>
    </xf>
    <xf borderId="0" fillId="30" fontId="1" numFmtId="0" xfId="0" applyAlignment="1" applyFont="1">
      <alignment vertical="bottom"/>
    </xf>
    <xf borderId="31" fillId="30" fontId="18" numFmtId="0" xfId="0" applyAlignment="1" applyBorder="1" applyFont="1">
      <alignment vertical="bottom"/>
    </xf>
    <xf borderId="0" fillId="28" fontId="24" numFmtId="0" xfId="0" applyAlignment="1" applyFont="1">
      <alignment horizontal="center"/>
    </xf>
    <xf borderId="33" fillId="27" fontId="24" numFmtId="0" xfId="0" applyAlignment="1" applyBorder="1" applyFont="1">
      <alignment horizontal="center"/>
    </xf>
    <xf borderId="33" fillId="27" fontId="1" numFmtId="0" xfId="0" applyAlignment="1" applyBorder="1" applyFont="1">
      <alignment vertical="bottom"/>
    </xf>
    <xf borderId="36" fillId="27" fontId="18" numFmtId="0" xfId="0" applyAlignment="1" applyBorder="1" applyFont="1">
      <alignment vertical="bottom"/>
    </xf>
    <xf borderId="36" fillId="31" fontId="18" numFmtId="0" xfId="0" applyAlignment="1" applyBorder="1" applyFont="1">
      <alignment horizontal="center" readingOrder="0" vertical="center"/>
    </xf>
    <xf borderId="33" fillId="35" fontId="24" numFmtId="0" xfId="0" applyAlignment="1" applyBorder="1" applyFont="1">
      <alignment horizontal="center"/>
    </xf>
    <xf borderId="33" fillId="35" fontId="1" numFmtId="0" xfId="0" applyBorder="1" applyFont="1"/>
    <xf borderId="36" fillId="35" fontId="18" numFmtId="0" xfId="0" applyAlignment="1" applyBorder="1" applyFont="1">
      <alignment vertical="bottom"/>
    </xf>
    <xf borderId="48" fillId="0" fontId="21" numFmtId="0" xfId="0" applyAlignment="1" applyBorder="1" applyFont="1">
      <alignment horizontal="center" readingOrder="0" vertical="center"/>
    </xf>
    <xf borderId="48" fillId="0" fontId="2" numFmtId="0" xfId="0" applyAlignment="1" applyBorder="1" applyFont="1">
      <alignment horizontal="center" vertical="center"/>
    </xf>
    <xf borderId="48" fillId="0" fontId="31" numFmtId="0" xfId="0" applyAlignment="1" applyBorder="1" applyFont="1">
      <alignment horizontal="center" readingOrder="0" vertical="center"/>
    </xf>
    <xf borderId="49" fillId="0" fontId="18" numFmtId="0" xfId="0" applyAlignment="1" applyBorder="1" applyFont="1">
      <alignment horizontal="center" vertical="center"/>
    </xf>
    <xf borderId="0" fillId="0" fontId="18" numFmtId="0" xfId="0" applyAlignment="1" applyFont="1">
      <alignment horizontal="center"/>
    </xf>
    <xf borderId="0" fillId="0" fontId="3" numFmtId="0" xfId="0" applyAlignment="1" applyFont="1">
      <alignment readingOrder="0"/>
    </xf>
    <xf quotePrefix="1" borderId="0" fillId="0" fontId="2" numFmtId="49" xfId="0" applyAlignment="1" applyFont="1" applyNumberFormat="1">
      <alignment readingOrder="0"/>
    </xf>
  </cellXfs>
  <cellStyles count="1">
    <cellStyle xfId="0" name="Normal" builtinId="0"/>
  </cellStyles>
  <dxfs count="14">
    <dxf>
      <font/>
      <fill>
        <patternFill patternType="solid">
          <fgColor rgb="FFE3EFF1"/>
          <bgColor rgb="FFE3EFF1"/>
        </patternFill>
      </fill>
      <border/>
    </dxf>
    <dxf>
      <font/>
      <fill>
        <patternFill patternType="solid">
          <fgColor rgb="FFDCE5ED"/>
          <bgColor rgb="FFDCE5ED"/>
        </patternFill>
      </fill>
      <border/>
    </dxf>
    <dxf>
      <font/>
      <fill>
        <patternFill patternType="solid">
          <fgColor rgb="FFF6EBF0"/>
          <bgColor rgb="FFF6EBF0"/>
        </patternFill>
      </fill>
      <border/>
    </dxf>
    <dxf>
      <font/>
      <fill>
        <patternFill patternType="solid">
          <fgColor rgb="FFFFE0DA"/>
          <bgColor rgb="FFFFE0DA"/>
        </patternFill>
      </fill>
      <border/>
    </dxf>
    <dxf>
      <font/>
      <fill>
        <patternFill patternType="solid">
          <fgColor rgb="FFFDECDA"/>
          <bgColor rgb="FFFDECDA"/>
        </patternFill>
      </fill>
      <border/>
    </dxf>
    <dxf>
      <font/>
      <fill>
        <patternFill patternType="solid">
          <fgColor rgb="FFF2FEEE"/>
          <bgColor rgb="FFF2FEEE"/>
        </patternFill>
      </fill>
      <border/>
    </dxf>
    <dxf>
      <font/>
      <fill>
        <patternFill patternType="solid">
          <fgColor rgb="FFF3EEFD"/>
          <bgColor rgb="FFF3EEFD"/>
        </patternFill>
      </fill>
      <border/>
    </dxf>
    <dxf>
      <font/>
      <fill>
        <patternFill patternType="solid">
          <fgColor rgb="FFF3FDFF"/>
          <bgColor rgb="FFF3FDFF"/>
        </patternFill>
      </fill>
      <border/>
    </dxf>
    <dxf>
      <font/>
      <fill>
        <patternFill patternType="solid">
          <fgColor rgb="FFFFF2F2"/>
          <bgColor rgb="FFFFF2F2"/>
        </patternFill>
      </fill>
      <border/>
    </dxf>
    <dxf>
      <font/>
      <fill>
        <patternFill patternType="solid">
          <fgColor rgb="FFE0EBFE"/>
          <bgColor rgb="FFE0EBFE"/>
        </patternFill>
      </fill>
      <border/>
    </dxf>
    <dxf>
      <font/>
      <fill>
        <patternFill patternType="solid">
          <fgColor rgb="FFF4FFF0"/>
          <bgColor rgb="FFF4FFF0"/>
        </patternFill>
      </fill>
      <border/>
    </dxf>
    <dxf>
      <font/>
      <fill>
        <patternFill patternType="solid">
          <fgColor rgb="FFB7E1CD"/>
          <bgColor rgb="FFB7E1CD"/>
        </patternFill>
      </fill>
      <border/>
    </dxf>
    <dxf>
      <font/>
      <fill>
        <patternFill patternType="solid">
          <fgColor rgb="FFF9CB9C"/>
          <bgColor rgb="FFF9CB9C"/>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4.88"/>
    <col customWidth="1" min="3" max="3" width="26.88"/>
    <col customWidth="1" min="4" max="4" width="95.63"/>
    <col customWidth="1" min="5" max="5" width="76.0"/>
    <col customWidth="1" hidden="1" min="6" max="6" width="9.88"/>
    <col customWidth="1" min="7" max="7" width="6.63"/>
    <col customWidth="1" min="8" max="8" width="2.25"/>
    <col customWidth="1" min="9" max="9" width="6.63"/>
  </cols>
  <sheetData>
    <row r="1">
      <c r="A1" s="1" t="s">
        <v>0</v>
      </c>
      <c r="B1" s="2" t="s">
        <v>1</v>
      </c>
      <c r="C1" s="3" t="s">
        <v>2</v>
      </c>
      <c r="D1" s="1" t="s">
        <v>3</v>
      </c>
      <c r="E1" s="1" t="s">
        <v>4</v>
      </c>
      <c r="F1" s="3"/>
      <c r="G1" s="3" t="s">
        <v>5</v>
      </c>
      <c r="I1" s="3" t="s">
        <v>6</v>
      </c>
    </row>
    <row r="2">
      <c r="A2" s="4" t="s">
        <v>7</v>
      </c>
      <c r="B2" s="5">
        <v>2.0</v>
      </c>
      <c r="C2" s="6" t="s">
        <v>8</v>
      </c>
      <c r="D2" s="7" t="s">
        <v>9</v>
      </c>
      <c r="E2" s="7" t="s">
        <v>10</v>
      </c>
      <c r="F2" s="6" t="s">
        <v>11</v>
      </c>
      <c r="G2" s="8">
        <v>2000.0</v>
      </c>
      <c r="H2" s="9"/>
      <c r="I2" s="8">
        <v>2000.0</v>
      </c>
    </row>
    <row r="3">
      <c r="A3" s="10" t="s">
        <v>12</v>
      </c>
      <c r="B3" s="11">
        <v>2.0</v>
      </c>
      <c r="C3" s="12" t="s">
        <v>8</v>
      </c>
      <c r="D3" s="13" t="s">
        <v>13</v>
      </c>
      <c r="E3" s="14" t="s">
        <v>14</v>
      </c>
      <c r="F3" s="12">
        <v>12000.0</v>
      </c>
      <c r="G3" s="15">
        <v>8000.0</v>
      </c>
      <c r="H3" s="16"/>
      <c r="I3" s="15">
        <v>8000.0</v>
      </c>
    </row>
    <row r="4">
      <c r="A4" s="10" t="s">
        <v>15</v>
      </c>
      <c r="B4" s="11">
        <v>2.0</v>
      </c>
      <c r="C4" s="12" t="s">
        <v>8</v>
      </c>
      <c r="D4" s="14" t="s">
        <v>16</v>
      </c>
      <c r="E4" s="14" t="s">
        <v>17</v>
      </c>
      <c r="F4" s="12">
        <v>8000.0</v>
      </c>
      <c r="G4" s="15">
        <v>10000.0</v>
      </c>
      <c r="H4" s="16"/>
      <c r="I4" s="15">
        <v>10000.0</v>
      </c>
    </row>
    <row r="5">
      <c r="A5" s="10" t="s">
        <v>18</v>
      </c>
      <c r="B5" s="11">
        <v>2.0</v>
      </c>
      <c r="C5" s="12" t="s">
        <v>8</v>
      </c>
      <c r="D5" s="14" t="s">
        <v>19</v>
      </c>
      <c r="E5" s="14"/>
      <c r="F5" s="12">
        <v>8000.0</v>
      </c>
      <c r="G5" s="15">
        <v>12000.0</v>
      </c>
      <c r="H5" s="16"/>
      <c r="I5" s="15">
        <v>12000.0</v>
      </c>
    </row>
    <row r="6">
      <c r="A6" s="10" t="s">
        <v>20</v>
      </c>
      <c r="B6" s="11">
        <v>2.0</v>
      </c>
      <c r="C6" s="12" t="s">
        <v>8</v>
      </c>
      <c r="D6" s="14" t="s">
        <v>21</v>
      </c>
      <c r="E6" s="14" t="s">
        <v>22</v>
      </c>
      <c r="F6" s="12">
        <v>5000.0</v>
      </c>
      <c r="G6" s="15">
        <v>12000.0</v>
      </c>
      <c r="H6" s="16"/>
      <c r="I6" s="15">
        <v>12000.0</v>
      </c>
    </row>
    <row r="7">
      <c r="A7" s="17" t="s">
        <v>23</v>
      </c>
      <c r="B7" s="18">
        <v>2.0</v>
      </c>
      <c r="C7" s="19" t="s">
        <v>24</v>
      </c>
      <c r="D7" s="20" t="s">
        <v>25</v>
      </c>
      <c r="E7" s="20" t="s">
        <v>26</v>
      </c>
      <c r="F7" s="21">
        <v>4000.0</v>
      </c>
      <c r="G7" s="22">
        <v>15000.0</v>
      </c>
      <c r="H7" s="23"/>
      <c r="I7" s="22">
        <v>15000.0</v>
      </c>
    </row>
    <row r="8">
      <c r="A8" s="24" t="s">
        <v>27</v>
      </c>
      <c r="B8" s="25">
        <v>1.0</v>
      </c>
      <c r="C8" s="26" t="s">
        <v>24</v>
      </c>
      <c r="D8" s="27" t="s">
        <v>28</v>
      </c>
      <c r="E8" s="27" t="s">
        <v>29</v>
      </c>
      <c r="F8" s="28">
        <v>4000.0</v>
      </c>
      <c r="G8" s="29">
        <v>5000.0</v>
      </c>
      <c r="H8" s="30"/>
      <c r="I8" s="29">
        <v>5000.0</v>
      </c>
    </row>
    <row r="9">
      <c r="A9" s="31" t="s">
        <v>30</v>
      </c>
      <c r="B9" s="32">
        <v>3.0</v>
      </c>
      <c r="C9" s="33" t="s">
        <v>31</v>
      </c>
      <c r="D9" s="34" t="s">
        <v>32</v>
      </c>
      <c r="E9" s="34" t="s">
        <v>33</v>
      </c>
      <c r="F9" s="33">
        <v>5000.0</v>
      </c>
      <c r="G9" s="35">
        <v>5000.0</v>
      </c>
      <c r="H9" s="36"/>
      <c r="I9" s="35">
        <v>5000.0</v>
      </c>
    </row>
    <row r="10">
      <c r="A10" s="37" t="s">
        <v>34</v>
      </c>
      <c r="B10" s="38">
        <v>1.0</v>
      </c>
      <c r="C10" s="39" t="s">
        <v>31</v>
      </c>
      <c r="D10" s="40" t="s">
        <v>35</v>
      </c>
      <c r="E10" s="41" t="s">
        <v>36</v>
      </c>
      <c r="F10" s="39">
        <v>2000.0</v>
      </c>
      <c r="G10" s="42">
        <v>2500.0</v>
      </c>
      <c r="H10" s="43"/>
      <c r="I10" s="42">
        <v>2500.0</v>
      </c>
    </row>
    <row r="11">
      <c r="A11" s="37" t="s">
        <v>37</v>
      </c>
      <c r="B11" s="38">
        <v>1.0</v>
      </c>
      <c r="C11" s="39" t="s">
        <v>31</v>
      </c>
      <c r="D11" s="41" t="s">
        <v>38</v>
      </c>
      <c r="E11" s="41" t="s">
        <v>39</v>
      </c>
      <c r="F11" s="39"/>
      <c r="G11" s="42">
        <v>2000.0</v>
      </c>
      <c r="H11" s="43"/>
      <c r="I11" s="42">
        <v>2000.0</v>
      </c>
      <c r="L11" s="44"/>
    </row>
    <row r="12">
      <c r="A12" s="37" t="s">
        <v>40</v>
      </c>
      <c r="B12" s="38">
        <v>1.0</v>
      </c>
      <c r="C12" s="39" t="s">
        <v>31</v>
      </c>
      <c r="D12" s="41" t="s">
        <v>41</v>
      </c>
      <c r="E12" s="41" t="s">
        <v>42</v>
      </c>
      <c r="F12" s="39">
        <v>3500.0</v>
      </c>
      <c r="G12" s="42">
        <v>8000.0</v>
      </c>
      <c r="H12" s="43"/>
      <c r="I12" s="42">
        <v>8000.0</v>
      </c>
      <c r="L12" s="44"/>
    </row>
    <row r="13">
      <c r="A13" s="45" t="s">
        <v>43</v>
      </c>
      <c r="B13" s="46">
        <v>2.0</v>
      </c>
      <c r="C13" s="47" t="s">
        <v>44</v>
      </c>
      <c r="D13" s="48" t="s">
        <v>45</v>
      </c>
      <c r="E13" s="48" t="s">
        <v>46</v>
      </c>
      <c r="F13" s="47">
        <v>4500.0</v>
      </c>
      <c r="G13" s="49">
        <v>4000.0</v>
      </c>
      <c r="H13" s="50"/>
      <c r="I13" s="49">
        <v>4000.0</v>
      </c>
      <c r="L13" s="44"/>
    </row>
    <row r="14">
      <c r="A14" s="51" t="s">
        <v>47</v>
      </c>
      <c r="B14" s="52">
        <v>2.0</v>
      </c>
      <c r="C14" s="53" t="s">
        <v>44</v>
      </c>
      <c r="D14" s="54" t="s">
        <v>48</v>
      </c>
      <c r="E14" s="54" t="s">
        <v>49</v>
      </c>
      <c r="F14" s="53">
        <v>3500.0</v>
      </c>
      <c r="G14" s="55">
        <v>5000.0</v>
      </c>
      <c r="H14" s="56"/>
      <c r="I14" s="55">
        <v>5000.0</v>
      </c>
    </row>
    <row r="15">
      <c r="A15" s="51" t="s">
        <v>50</v>
      </c>
      <c r="B15" s="52">
        <v>2.0</v>
      </c>
      <c r="C15" s="53" t="s">
        <v>44</v>
      </c>
      <c r="D15" s="54" t="s">
        <v>51</v>
      </c>
      <c r="E15" s="54" t="s">
        <v>52</v>
      </c>
      <c r="F15" s="53">
        <v>2500.0</v>
      </c>
      <c r="G15" s="55">
        <v>15000.0</v>
      </c>
      <c r="H15" s="56"/>
      <c r="I15" s="55">
        <v>15000.0</v>
      </c>
    </row>
    <row r="16">
      <c r="A16" s="54" t="s">
        <v>53</v>
      </c>
      <c r="B16" s="52">
        <v>2.0</v>
      </c>
      <c r="C16" s="53" t="s">
        <v>44</v>
      </c>
      <c r="D16" s="54" t="s">
        <v>54</v>
      </c>
      <c r="E16" s="54" t="s">
        <v>55</v>
      </c>
      <c r="F16" s="57"/>
      <c r="G16" s="55">
        <v>8000.0</v>
      </c>
      <c r="H16" s="56"/>
      <c r="I16" s="55">
        <v>8000.0</v>
      </c>
    </row>
    <row r="17">
      <c r="A17" s="58" t="s">
        <v>56</v>
      </c>
      <c r="B17" s="59">
        <v>1.0</v>
      </c>
      <c r="C17" s="53" t="s">
        <v>44</v>
      </c>
      <c r="D17" s="60" t="s">
        <v>57</v>
      </c>
      <c r="E17" s="60" t="s">
        <v>58</v>
      </c>
      <c r="F17" s="53">
        <v>3500.0</v>
      </c>
      <c r="G17" s="55">
        <v>8000.0</v>
      </c>
      <c r="H17" s="56"/>
      <c r="I17" s="55">
        <v>8000.0</v>
      </c>
    </row>
    <row r="18">
      <c r="A18" s="58" t="s">
        <v>59</v>
      </c>
      <c r="B18" s="59">
        <v>1.0</v>
      </c>
      <c r="C18" s="53" t="s">
        <v>44</v>
      </c>
      <c r="D18" s="60" t="s">
        <v>60</v>
      </c>
      <c r="E18" s="60" t="s">
        <v>61</v>
      </c>
      <c r="F18" s="53">
        <v>2500.0</v>
      </c>
      <c r="G18" s="55">
        <v>3000.0</v>
      </c>
      <c r="H18" s="56"/>
      <c r="I18" s="55">
        <v>3000.0</v>
      </c>
    </row>
    <row r="19">
      <c r="A19" s="58" t="s">
        <v>62</v>
      </c>
      <c r="B19" s="59">
        <v>1.0</v>
      </c>
      <c r="C19" s="53" t="s">
        <v>44</v>
      </c>
      <c r="D19" s="60" t="s">
        <v>63</v>
      </c>
      <c r="E19" s="60" t="s">
        <v>64</v>
      </c>
      <c r="F19" s="53">
        <v>5500.0</v>
      </c>
      <c r="G19" s="55">
        <v>8000.0</v>
      </c>
      <c r="H19" s="56"/>
      <c r="I19" s="55">
        <v>8000.0</v>
      </c>
    </row>
    <row r="20">
      <c r="A20" s="61" t="s">
        <v>65</v>
      </c>
      <c r="B20" s="62">
        <v>3.0</v>
      </c>
      <c r="C20" s="63" t="s">
        <v>66</v>
      </c>
      <c r="D20" s="64" t="s">
        <v>67</v>
      </c>
      <c r="E20" s="65" t="s">
        <v>68</v>
      </c>
      <c r="F20" s="63">
        <v>3000.0</v>
      </c>
      <c r="G20" s="66">
        <v>35000.0</v>
      </c>
      <c r="H20" s="67"/>
      <c r="I20" s="66">
        <v>35000.0</v>
      </c>
    </row>
    <row r="21">
      <c r="A21" s="68" t="s">
        <v>69</v>
      </c>
      <c r="B21" s="69">
        <v>2.0</v>
      </c>
      <c r="C21" s="70" t="s">
        <v>66</v>
      </c>
      <c r="D21" s="71" t="s">
        <v>70</v>
      </c>
      <c r="E21" s="72"/>
      <c r="F21" s="70"/>
      <c r="G21" s="73">
        <v>15000.0</v>
      </c>
      <c r="H21" s="74"/>
      <c r="I21" s="73">
        <v>15000.0</v>
      </c>
    </row>
    <row r="22">
      <c r="A22" s="75" t="s">
        <v>71</v>
      </c>
      <c r="B22" s="76">
        <v>2.0</v>
      </c>
      <c r="C22" s="70" t="s">
        <v>66</v>
      </c>
      <c r="D22" s="72" t="s">
        <v>72</v>
      </c>
      <c r="E22" s="72" t="s">
        <v>73</v>
      </c>
      <c r="F22" s="70">
        <v>3000.0</v>
      </c>
      <c r="G22" s="73">
        <v>5000.0</v>
      </c>
      <c r="H22" s="74"/>
      <c r="I22" s="73">
        <v>5000.0</v>
      </c>
    </row>
    <row r="23">
      <c r="A23" s="75" t="s">
        <v>74</v>
      </c>
      <c r="B23" s="76">
        <v>2.0</v>
      </c>
      <c r="C23" s="70" t="s">
        <v>66</v>
      </c>
      <c r="D23" s="72" t="s">
        <v>75</v>
      </c>
      <c r="E23" s="72" t="s">
        <v>76</v>
      </c>
      <c r="F23" s="70">
        <v>1000.0</v>
      </c>
      <c r="G23" s="73">
        <v>8000.0</v>
      </c>
      <c r="H23" s="74"/>
      <c r="I23" s="73">
        <v>8000.0</v>
      </c>
    </row>
    <row r="24">
      <c r="A24" s="68" t="s">
        <v>77</v>
      </c>
      <c r="B24" s="69">
        <v>2.0</v>
      </c>
      <c r="C24" s="70" t="s">
        <v>66</v>
      </c>
      <c r="D24" s="71" t="s">
        <v>78</v>
      </c>
      <c r="E24" s="71" t="s">
        <v>79</v>
      </c>
      <c r="F24" s="70"/>
      <c r="G24" s="73">
        <v>30000.0</v>
      </c>
      <c r="H24" s="74"/>
      <c r="I24" s="73">
        <v>30000.0</v>
      </c>
    </row>
    <row r="25">
      <c r="A25" s="75" t="s">
        <v>80</v>
      </c>
      <c r="B25" s="76">
        <v>2.0</v>
      </c>
      <c r="C25" s="70" t="s">
        <v>66</v>
      </c>
      <c r="D25" s="72" t="s">
        <v>81</v>
      </c>
      <c r="E25" s="72" t="s">
        <v>82</v>
      </c>
      <c r="F25" s="70">
        <v>1200.0</v>
      </c>
      <c r="G25" s="73">
        <v>20000.0</v>
      </c>
      <c r="H25" s="74"/>
      <c r="I25" s="73">
        <v>20000.0</v>
      </c>
    </row>
    <row r="26">
      <c r="A26" s="75" t="s">
        <v>83</v>
      </c>
      <c r="B26" s="76">
        <v>1.0</v>
      </c>
      <c r="C26" s="70" t="s">
        <v>66</v>
      </c>
      <c r="D26" s="72" t="s">
        <v>84</v>
      </c>
      <c r="E26" s="72" t="s">
        <v>85</v>
      </c>
      <c r="F26" s="70">
        <v>5500.0</v>
      </c>
      <c r="G26" s="73">
        <v>5000.0</v>
      </c>
      <c r="H26" s="74"/>
      <c r="I26" s="73">
        <v>5000.0</v>
      </c>
    </row>
    <row r="27">
      <c r="A27" s="75" t="s">
        <v>86</v>
      </c>
      <c r="B27" s="76">
        <v>1.0</v>
      </c>
      <c r="C27" s="70" t="s">
        <v>66</v>
      </c>
      <c r="D27" s="72" t="s">
        <v>87</v>
      </c>
      <c r="E27" s="72" t="s">
        <v>88</v>
      </c>
      <c r="F27" s="70">
        <v>1200.0</v>
      </c>
      <c r="G27" s="73">
        <v>2000.0</v>
      </c>
      <c r="H27" s="74"/>
      <c r="I27" s="73">
        <v>2000.0</v>
      </c>
    </row>
    <row r="28">
      <c r="A28" s="77" t="s">
        <v>89</v>
      </c>
      <c r="B28" s="78">
        <v>1.0</v>
      </c>
      <c r="C28" s="70" t="s">
        <v>66</v>
      </c>
      <c r="D28" s="79" t="s">
        <v>90</v>
      </c>
      <c r="E28" s="79" t="s">
        <v>91</v>
      </c>
      <c r="F28" s="70">
        <v>1500.0</v>
      </c>
      <c r="G28" s="73">
        <v>5000.0</v>
      </c>
      <c r="H28" s="74"/>
      <c r="I28" s="73">
        <v>5000.0</v>
      </c>
    </row>
    <row r="29">
      <c r="A29" s="77" t="s">
        <v>92</v>
      </c>
      <c r="B29" s="78">
        <v>1.0</v>
      </c>
      <c r="C29" s="70" t="s">
        <v>66</v>
      </c>
      <c r="D29" s="79" t="s">
        <v>93</v>
      </c>
      <c r="E29" s="79" t="s">
        <v>94</v>
      </c>
      <c r="F29" s="70">
        <v>2000.0</v>
      </c>
      <c r="G29" s="73">
        <v>2000.0</v>
      </c>
      <c r="H29" s="74"/>
      <c r="I29" s="73">
        <v>2000.0</v>
      </c>
    </row>
    <row r="30">
      <c r="A30" s="80" t="s">
        <v>95</v>
      </c>
      <c r="B30" s="81">
        <v>1.0</v>
      </c>
      <c r="C30" s="82" t="s">
        <v>66</v>
      </c>
      <c r="D30" s="83" t="s">
        <v>96</v>
      </c>
      <c r="E30" s="83" t="s">
        <v>97</v>
      </c>
      <c r="F30" s="82">
        <v>4500.0</v>
      </c>
      <c r="G30" s="84">
        <v>2000.0</v>
      </c>
      <c r="H30" s="85"/>
      <c r="I30" s="84">
        <v>2000.0</v>
      </c>
    </row>
    <row r="31">
      <c r="A31" s="86" t="s">
        <v>98</v>
      </c>
      <c r="B31" s="87">
        <v>2.0</v>
      </c>
      <c r="C31" s="88" t="s">
        <v>99</v>
      </c>
      <c r="D31" s="89" t="s">
        <v>100</v>
      </c>
      <c r="E31" s="89" t="s">
        <v>101</v>
      </c>
      <c r="F31" s="88">
        <v>3500.0</v>
      </c>
      <c r="G31" s="90">
        <v>10000.0</v>
      </c>
      <c r="H31" s="91"/>
      <c r="I31" s="90">
        <v>10000.0</v>
      </c>
    </row>
    <row r="32">
      <c r="A32" s="92" t="s">
        <v>102</v>
      </c>
      <c r="B32" s="93">
        <v>2.0</v>
      </c>
      <c r="C32" s="94" t="s">
        <v>99</v>
      </c>
      <c r="D32" s="95" t="s">
        <v>103</v>
      </c>
      <c r="E32" s="95" t="s">
        <v>104</v>
      </c>
      <c r="F32" s="96"/>
      <c r="G32" s="97">
        <v>10000.0</v>
      </c>
      <c r="H32" s="98"/>
      <c r="I32" s="97">
        <v>10000.0</v>
      </c>
    </row>
    <row r="33">
      <c r="A33" s="99" t="s">
        <v>105</v>
      </c>
      <c r="B33" s="100">
        <v>2.0</v>
      </c>
      <c r="C33" s="21" t="s">
        <v>106</v>
      </c>
      <c r="D33" s="101" t="s">
        <v>107</v>
      </c>
      <c r="E33" s="101" t="s">
        <v>108</v>
      </c>
      <c r="F33" s="102"/>
      <c r="G33" s="22">
        <v>5000.0</v>
      </c>
      <c r="H33" s="23"/>
      <c r="I33" s="22">
        <v>5000.0</v>
      </c>
    </row>
    <row r="34">
      <c r="A34" s="103" t="s">
        <v>109</v>
      </c>
      <c r="B34" s="104">
        <v>2.0</v>
      </c>
      <c r="C34" s="105" t="s">
        <v>106</v>
      </c>
      <c r="D34" s="106" t="s">
        <v>110</v>
      </c>
      <c r="E34" s="103" t="s">
        <v>111</v>
      </c>
      <c r="F34" s="105">
        <v>6000.0</v>
      </c>
      <c r="G34" s="105">
        <v>10000.0</v>
      </c>
      <c r="H34" s="107"/>
      <c r="I34" s="105">
        <v>10000.0</v>
      </c>
    </row>
    <row r="35">
      <c r="A35" s="108" t="s">
        <v>112</v>
      </c>
      <c r="B35" s="104">
        <v>1.0</v>
      </c>
      <c r="C35" s="105" t="s">
        <v>106</v>
      </c>
      <c r="D35" s="103" t="s">
        <v>113</v>
      </c>
      <c r="E35" s="103" t="s">
        <v>114</v>
      </c>
      <c r="F35" s="105">
        <v>1200.0</v>
      </c>
      <c r="G35" s="109">
        <v>2000.0</v>
      </c>
      <c r="H35" s="110"/>
      <c r="I35" s="109">
        <v>2000.0</v>
      </c>
    </row>
    <row r="36">
      <c r="A36" s="108" t="s">
        <v>115</v>
      </c>
      <c r="B36" s="111">
        <v>1.0</v>
      </c>
      <c r="C36" s="105" t="s">
        <v>106</v>
      </c>
      <c r="D36" s="103" t="s">
        <v>116</v>
      </c>
      <c r="E36" s="103" t="s">
        <v>117</v>
      </c>
      <c r="F36" s="105">
        <v>3000.0</v>
      </c>
      <c r="G36" s="109">
        <v>3000.0</v>
      </c>
      <c r="H36" s="110"/>
      <c r="I36" s="109">
        <v>3000.0</v>
      </c>
    </row>
    <row r="37">
      <c r="A37" s="112" t="s">
        <v>118</v>
      </c>
      <c r="B37" s="113">
        <v>1.0</v>
      </c>
      <c r="C37" s="105" t="s">
        <v>106</v>
      </c>
      <c r="D37" s="106" t="s">
        <v>119</v>
      </c>
      <c r="E37" s="106" t="s">
        <v>120</v>
      </c>
      <c r="F37" s="105">
        <v>1500.0</v>
      </c>
      <c r="G37" s="109">
        <v>15000.0</v>
      </c>
      <c r="H37" s="110"/>
      <c r="I37" s="109">
        <v>15000.0</v>
      </c>
    </row>
    <row r="38">
      <c r="A38" s="114" t="s">
        <v>121</v>
      </c>
      <c r="B38" s="113">
        <v>1.0</v>
      </c>
      <c r="C38" s="105" t="s">
        <v>106</v>
      </c>
      <c r="D38" s="114" t="s">
        <v>122</v>
      </c>
      <c r="E38" s="114" t="s">
        <v>123</v>
      </c>
      <c r="F38" s="105">
        <v>3500.0</v>
      </c>
      <c r="G38" s="109">
        <v>5000.0</v>
      </c>
      <c r="H38" s="110"/>
      <c r="I38" s="109">
        <v>5000.0</v>
      </c>
    </row>
    <row r="39">
      <c r="A39" s="112" t="s">
        <v>124</v>
      </c>
      <c r="B39" s="113">
        <v>1.0</v>
      </c>
      <c r="C39" s="105" t="s">
        <v>106</v>
      </c>
      <c r="D39" s="114" t="s">
        <v>125</v>
      </c>
      <c r="E39" s="114" t="s">
        <v>126</v>
      </c>
      <c r="F39" s="105">
        <v>2500.0</v>
      </c>
      <c r="G39" s="109">
        <v>8000.0</v>
      </c>
      <c r="H39" s="110"/>
      <c r="I39" s="109">
        <v>8000.0</v>
      </c>
    </row>
    <row r="40">
      <c r="A40" s="112" t="s">
        <v>127</v>
      </c>
      <c r="B40" s="113">
        <v>1.0</v>
      </c>
      <c r="C40" s="105" t="s">
        <v>106</v>
      </c>
      <c r="D40" s="114" t="s">
        <v>128</v>
      </c>
      <c r="E40" s="114" t="s">
        <v>129</v>
      </c>
      <c r="F40" s="105">
        <v>3000.0</v>
      </c>
      <c r="G40" s="109">
        <v>5000.0</v>
      </c>
      <c r="H40" s="110"/>
      <c r="I40" s="109">
        <v>5000.0</v>
      </c>
    </row>
    <row r="41">
      <c r="A41" s="115" t="s">
        <v>130</v>
      </c>
      <c r="B41" s="111">
        <v>1.0</v>
      </c>
      <c r="C41" s="105" t="s">
        <v>106</v>
      </c>
      <c r="D41" s="106" t="s">
        <v>131</v>
      </c>
      <c r="E41" s="114"/>
      <c r="F41" s="105"/>
      <c r="G41" s="109">
        <v>3000.0</v>
      </c>
      <c r="H41" s="110"/>
      <c r="I41" s="109">
        <v>3000.0</v>
      </c>
    </row>
    <row r="42">
      <c r="A42" s="112" t="s">
        <v>132</v>
      </c>
      <c r="B42" s="113">
        <v>1.0</v>
      </c>
      <c r="C42" s="105" t="s">
        <v>106</v>
      </c>
      <c r="D42" s="114" t="s">
        <v>133</v>
      </c>
      <c r="E42" s="114" t="s">
        <v>134</v>
      </c>
      <c r="F42" s="105">
        <v>4000.0</v>
      </c>
      <c r="G42" s="109">
        <v>6969.0</v>
      </c>
      <c r="H42" s="110"/>
      <c r="I42" s="109">
        <v>6969.0</v>
      </c>
    </row>
    <row r="43">
      <c r="A43" s="112" t="s">
        <v>135</v>
      </c>
      <c r="B43" s="113">
        <v>1.0</v>
      </c>
      <c r="C43" s="105" t="s">
        <v>106</v>
      </c>
      <c r="D43" s="114" t="s">
        <v>136</v>
      </c>
      <c r="E43" s="114" t="s">
        <v>137</v>
      </c>
      <c r="F43" s="116"/>
      <c r="G43" s="109">
        <v>7000.0</v>
      </c>
      <c r="H43" s="110"/>
      <c r="I43" s="109">
        <v>7000.0</v>
      </c>
    </row>
    <row r="44">
      <c r="A44" s="112" t="s">
        <v>138</v>
      </c>
      <c r="B44" s="113">
        <v>1.0</v>
      </c>
      <c r="C44" s="105" t="s">
        <v>106</v>
      </c>
      <c r="D44" s="114" t="s">
        <v>139</v>
      </c>
      <c r="E44" s="114" t="s">
        <v>140</v>
      </c>
      <c r="F44" s="116"/>
      <c r="G44" s="109">
        <v>5000.0</v>
      </c>
      <c r="H44" s="110"/>
      <c r="I44" s="109">
        <v>5000.0</v>
      </c>
    </row>
    <row r="45">
      <c r="A45" s="117" t="s">
        <v>141</v>
      </c>
      <c r="B45" s="118">
        <v>1.0</v>
      </c>
      <c r="C45" s="28" t="s">
        <v>106</v>
      </c>
      <c r="D45" s="119" t="s">
        <v>142</v>
      </c>
      <c r="E45" s="119" t="s">
        <v>143</v>
      </c>
      <c r="F45" s="120"/>
      <c r="G45" s="29">
        <v>12000.0</v>
      </c>
      <c r="H45" s="30"/>
      <c r="I45" s="29">
        <v>12000.0</v>
      </c>
      <c r="P45" s="116"/>
      <c r="Q45" s="116"/>
      <c r="R45" s="116"/>
      <c r="S45" s="116"/>
      <c r="T45" s="116"/>
      <c r="U45" s="116"/>
      <c r="V45" s="116"/>
      <c r="W45" s="116"/>
      <c r="X45" s="116"/>
      <c r="Y45" s="116"/>
      <c r="Z45" s="116"/>
      <c r="AA45" s="116"/>
      <c r="AB45" s="116"/>
      <c r="AC45" s="116"/>
      <c r="AD45" s="116"/>
      <c r="AE45" s="116"/>
      <c r="AF45" s="116"/>
      <c r="AG45" s="116"/>
      <c r="AH45" s="116"/>
      <c r="AI45" s="116"/>
      <c r="AJ45" s="116"/>
      <c r="AK45" s="116"/>
    </row>
    <row r="46">
      <c r="A46" s="121" t="s">
        <v>144</v>
      </c>
      <c r="B46" s="122">
        <v>5.0</v>
      </c>
      <c r="C46" s="123" t="s">
        <v>145</v>
      </c>
      <c r="D46" s="124" t="s">
        <v>146</v>
      </c>
      <c r="E46" s="124" t="s">
        <v>147</v>
      </c>
      <c r="F46" s="125"/>
      <c r="G46" s="126">
        <v>50000.0</v>
      </c>
      <c r="H46" s="127"/>
      <c r="I46" s="126">
        <v>50000.0</v>
      </c>
    </row>
    <row r="47">
      <c r="A47" s="128" t="s">
        <v>148</v>
      </c>
      <c r="B47" s="129">
        <v>3.0</v>
      </c>
      <c r="C47" s="130" t="s">
        <v>145</v>
      </c>
      <c r="D47" s="131" t="s">
        <v>149</v>
      </c>
      <c r="E47" s="131" t="s">
        <v>150</v>
      </c>
      <c r="F47" s="132"/>
      <c r="G47" s="133">
        <v>25000.0</v>
      </c>
      <c r="H47" s="134"/>
      <c r="I47" s="133">
        <v>25000.0</v>
      </c>
    </row>
    <row r="48">
      <c r="A48" s="128" t="s">
        <v>151</v>
      </c>
      <c r="B48" s="129">
        <v>2.0</v>
      </c>
      <c r="C48" s="130" t="s">
        <v>145</v>
      </c>
      <c r="D48" s="131" t="s">
        <v>152</v>
      </c>
      <c r="E48" s="131" t="s">
        <v>153</v>
      </c>
      <c r="F48" s="132"/>
      <c r="G48" s="133">
        <v>10000.0</v>
      </c>
      <c r="H48" s="134"/>
      <c r="I48" s="133">
        <v>10000.0</v>
      </c>
    </row>
    <row r="49">
      <c r="A49" s="128" t="s">
        <v>154</v>
      </c>
      <c r="B49" s="129">
        <v>2.0</v>
      </c>
      <c r="C49" s="130" t="s">
        <v>145</v>
      </c>
      <c r="D49" s="131" t="s">
        <v>155</v>
      </c>
      <c r="E49" s="131" t="s">
        <v>156</v>
      </c>
      <c r="F49" s="132"/>
      <c r="G49" s="133">
        <v>8000.0</v>
      </c>
      <c r="H49" s="134"/>
      <c r="I49" s="133">
        <v>8000.0</v>
      </c>
    </row>
    <row r="50">
      <c r="A50" s="128" t="s">
        <v>157</v>
      </c>
      <c r="B50" s="129">
        <v>2.0</v>
      </c>
      <c r="C50" s="130" t="s">
        <v>145</v>
      </c>
      <c r="D50" s="131" t="s">
        <v>158</v>
      </c>
      <c r="E50" s="131" t="s">
        <v>159</v>
      </c>
      <c r="F50" s="132"/>
      <c r="G50" s="133">
        <v>15000.0</v>
      </c>
      <c r="H50" s="134"/>
      <c r="I50" s="133">
        <v>15000.0</v>
      </c>
    </row>
    <row r="51">
      <c r="A51" s="135" t="s">
        <v>160</v>
      </c>
      <c r="B51" s="136">
        <v>1.0</v>
      </c>
      <c r="C51" s="137" t="s">
        <v>145</v>
      </c>
      <c r="D51" s="138" t="s">
        <v>161</v>
      </c>
      <c r="E51" s="138" t="s">
        <v>162</v>
      </c>
      <c r="F51" s="139"/>
      <c r="G51" s="140">
        <v>10000.0</v>
      </c>
      <c r="H51" s="141"/>
      <c r="I51" s="140">
        <v>10000.0</v>
      </c>
    </row>
    <row r="52">
      <c r="A52" s="142" t="s">
        <v>163</v>
      </c>
      <c r="B52" s="143">
        <v>2.0</v>
      </c>
      <c r="C52" s="144" t="s">
        <v>164</v>
      </c>
      <c r="D52" s="145" t="s">
        <v>165</v>
      </c>
      <c r="E52" s="145" t="s">
        <v>166</v>
      </c>
      <c r="F52" s="146"/>
      <c r="G52" s="147">
        <v>40000.0</v>
      </c>
      <c r="H52" s="148"/>
      <c r="I52" s="147">
        <v>40000.0</v>
      </c>
    </row>
    <row r="53">
      <c r="A53" s="149" t="s">
        <v>167</v>
      </c>
      <c r="B53" s="150">
        <v>2.0</v>
      </c>
      <c r="C53" s="151" t="s">
        <v>164</v>
      </c>
      <c r="D53" s="152" t="s">
        <v>168</v>
      </c>
      <c r="E53" s="152" t="s">
        <v>169</v>
      </c>
      <c r="F53" s="153"/>
      <c r="G53" s="154">
        <v>8000.0</v>
      </c>
      <c r="H53" s="155"/>
      <c r="I53" s="154">
        <v>8000.0</v>
      </c>
    </row>
    <row r="54">
      <c r="A54" s="149" t="s">
        <v>170</v>
      </c>
      <c r="B54" s="150">
        <v>1.0</v>
      </c>
      <c r="C54" s="151" t="s">
        <v>164</v>
      </c>
      <c r="D54" s="152" t="s">
        <v>171</v>
      </c>
      <c r="E54" s="152" t="s">
        <v>172</v>
      </c>
      <c r="F54" s="153"/>
      <c r="G54" s="154">
        <v>2000.0</v>
      </c>
      <c r="H54" s="155"/>
      <c r="I54" s="154">
        <v>2000.0</v>
      </c>
    </row>
    <row r="55">
      <c r="A55" s="156" t="s">
        <v>173</v>
      </c>
      <c r="B55" s="157">
        <v>1.0</v>
      </c>
      <c r="C55" s="158" t="s">
        <v>164</v>
      </c>
      <c r="D55" s="159" t="s">
        <v>174</v>
      </c>
      <c r="E55" s="159" t="s">
        <v>175</v>
      </c>
      <c r="F55" s="160"/>
      <c r="G55" s="161">
        <v>5000.0</v>
      </c>
      <c r="H55" s="162"/>
      <c r="I55" s="161">
        <v>5000.0</v>
      </c>
    </row>
    <row r="56">
      <c r="A56" s="163" t="s">
        <v>176</v>
      </c>
      <c r="B56" s="164">
        <v>4.0</v>
      </c>
      <c r="C56" s="165" t="s">
        <v>177</v>
      </c>
      <c r="D56" s="166" t="s">
        <v>178</v>
      </c>
      <c r="E56" s="166" t="s">
        <v>179</v>
      </c>
      <c r="F56" s="167"/>
      <c r="G56" s="168">
        <v>25000.0</v>
      </c>
      <c r="H56" s="169"/>
      <c r="I56" s="168">
        <v>25000.0</v>
      </c>
    </row>
    <row r="57">
      <c r="A57" s="170" t="s">
        <v>180</v>
      </c>
      <c r="B57" s="171">
        <v>3.0</v>
      </c>
      <c r="C57" s="172" t="s">
        <v>177</v>
      </c>
      <c r="D57" s="173" t="s">
        <v>181</v>
      </c>
      <c r="E57" s="173" t="s">
        <v>182</v>
      </c>
      <c r="F57" s="174"/>
      <c r="G57" s="175">
        <v>10000.0</v>
      </c>
      <c r="H57" s="176"/>
      <c r="I57" s="175">
        <v>10000.0</v>
      </c>
    </row>
    <row r="58">
      <c r="A58" s="177" t="s">
        <v>183</v>
      </c>
      <c r="B58" s="178">
        <v>2.0</v>
      </c>
      <c r="C58" s="179" t="s">
        <v>177</v>
      </c>
      <c r="D58" s="177" t="s">
        <v>184</v>
      </c>
      <c r="E58" s="177" t="s">
        <v>185</v>
      </c>
      <c r="F58" s="180"/>
      <c r="G58" s="179">
        <v>8000.0</v>
      </c>
      <c r="H58" s="181"/>
      <c r="I58" s="179">
        <v>8000.0</v>
      </c>
    </row>
    <row r="59">
      <c r="A59" s="182" t="s">
        <v>186</v>
      </c>
      <c r="B59" s="11">
        <v>1.0</v>
      </c>
      <c r="C59" s="12" t="s">
        <v>187</v>
      </c>
      <c r="D59" s="14" t="s">
        <v>188</v>
      </c>
      <c r="E59" s="14" t="s">
        <v>189</v>
      </c>
      <c r="F59" s="183"/>
      <c r="G59" s="15">
        <v>8000.0</v>
      </c>
      <c r="H59" s="16"/>
      <c r="I59" s="15">
        <v>8000.0</v>
      </c>
    </row>
    <row r="60">
      <c r="A60" s="184" t="s">
        <v>190</v>
      </c>
      <c r="B60" s="185">
        <v>1.0</v>
      </c>
      <c r="C60" s="186" t="s">
        <v>187</v>
      </c>
      <c r="D60" s="187" t="s">
        <v>191</v>
      </c>
      <c r="E60" s="187" t="s">
        <v>192</v>
      </c>
      <c r="F60" s="188"/>
      <c r="G60" s="189">
        <v>8000.0</v>
      </c>
      <c r="H60" s="190"/>
      <c r="I60" s="189">
        <v>8000.0</v>
      </c>
    </row>
    <row r="63" ht="19.5" customHeight="1">
      <c r="A63" s="191"/>
      <c r="B63" s="192"/>
      <c r="C63" s="192"/>
      <c r="D63" s="193" t="s">
        <v>193</v>
      </c>
      <c r="E63" s="194"/>
    </row>
    <row r="64" ht="19.5" customHeight="1">
      <c r="A64" s="195"/>
      <c r="E64" s="196"/>
    </row>
    <row r="65" ht="19.5" customHeight="1">
      <c r="A65" s="197" t="s">
        <v>194</v>
      </c>
      <c r="D65" s="198" t="s">
        <v>195</v>
      </c>
      <c r="E65" s="196"/>
    </row>
    <row r="66" ht="19.5" customHeight="1">
      <c r="A66" s="197" t="s">
        <v>196</v>
      </c>
      <c r="D66" s="198" t="s">
        <v>197</v>
      </c>
      <c r="E66" s="199"/>
    </row>
    <row r="67" ht="19.5" customHeight="1">
      <c r="A67" s="197" t="s">
        <v>198</v>
      </c>
      <c r="D67" s="200" t="s">
        <v>199</v>
      </c>
      <c r="E67" s="199"/>
    </row>
    <row r="68" ht="19.5" customHeight="1">
      <c r="A68" s="197" t="s">
        <v>200</v>
      </c>
      <c r="D68" s="200" t="s">
        <v>201</v>
      </c>
      <c r="E68" s="199"/>
    </row>
    <row r="69" ht="19.5" customHeight="1">
      <c r="A69" s="201" t="s">
        <v>202</v>
      </c>
      <c r="B69" s="202"/>
      <c r="C69" s="202"/>
      <c r="D69" s="203" t="s">
        <v>203</v>
      </c>
      <c r="E69" s="204"/>
    </row>
    <row r="70" ht="19.5" customHeight="1"/>
    <row r="71" ht="19.5" customHeight="1">
      <c r="A71" s="205"/>
      <c r="B71" s="206"/>
      <c r="C71" s="206"/>
      <c r="D71" s="207"/>
      <c r="E71" s="208"/>
    </row>
    <row r="72" ht="19.5" customHeight="1">
      <c r="A72" s="209" t="s">
        <v>204</v>
      </c>
      <c r="B72" s="210"/>
      <c r="C72" s="210"/>
      <c r="D72" s="210"/>
      <c r="E72" s="211"/>
    </row>
    <row r="73" ht="19.5" customHeight="1">
      <c r="A73" s="209" t="s">
        <v>205</v>
      </c>
      <c r="B73" s="210"/>
      <c r="C73" s="210"/>
      <c r="D73" s="210"/>
      <c r="E73" s="211"/>
    </row>
    <row r="74" ht="19.5" customHeight="1">
      <c r="A74" s="209" t="s">
        <v>206</v>
      </c>
      <c r="B74" s="210"/>
      <c r="C74" s="210"/>
      <c r="D74" s="210"/>
      <c r="E74" s="211"/>
    </row>
    <row r="75" ht="19.5" customHeight="1">
      <c r="A75" s="209" t="s">
        <v>207</v>
      </c>
      <c r="B75" s="210"/>
      <c r="C75" s="210"/>
      <c r="D75" s="210"/>
      <c r="E75" s="211"/>
    </row>
    <row r="76" ht="19.5" customHeight="1">
      <c r="A76" s="212" t="s">
        <v>208</v>
      </c>
      <c r="B76" s="213"/>
      <c r="C76" s="213"/>
      <c r="D76" s="210"/>
      <c r="E76" s="211"/>
    </row>
    <row r="77">
      <c r="A77" s="214" t="s">
        <v>209</v>
      </c>
      <c r="C77" s="215" t="s">
        <v>210</v>
      </c>
      <c r="D77" s="216"/>
      <c r="E77" s="217"/>
    </row>
    <row r="78">
      <c r="A78" s="218"/>
      <c r="C78" s="183" t="str">
        <f t="array" ref="C78:C88">UNIQUE(C2:C60)</f>
        <v>Arms &amp; Arm Attachments</v>
      </c>
      <c r="D78" s="216"/>
      <c r="E78" s="217"/>
    </row>
    <row r="79">
      <c r="A79" s="218"/>
      <c r="C79" s="219" t="s">
        <v>24</v>
      </c>
      <c r="D79" s="216"/>
      <c r="E79" s="217"/>
    </row>
    <row r="80">
      <c r="A80" s="218"/>
      <c r="C80" s="220" t="s">
        <v>31</v>
      </c>
      <c r="D80" s="216"/>
      <c r="E80" s="217"/>
    </row>
    <row r="81">
      <c r="A81" s="218"/>
      <c r="C81" s="57" t="s">
        <v>44</v>
      </c>
      <c r="D81" s="216"/>
      <c r="E81" s="217"/>
    </row>
    <row r="82">
      <c r="A82" s="218"/>
      <c r="C82" s="221" t="s">
        <v>66</v>
      </c>
      <c r="D82" s="216"/>
      <c r="E82" s="217"/>
    </row>
    <row r="83">
      <c r="A83" s="218"/>
      <c r="C83" s="222" t="s">
        <v>99</v>
      </c>
      <c r="D83" s="216"/>
      <c r="E83" s="217"/>
    </row>
    <row r="84">
      <c r="A84" s="218"/>
      <c r="C84" s="116" t="s">
        <v>106</v>
      </c>
      <c r="D84" s="216"/>
      <c r="E84" s="217"/>
    </row>
    <row r="85">
      <c r="A85" s="218"/>
      <c r="C85" s="132" t="s">
        <v>145</v>
      </c>
      <c r="D85" s="216"/>
      <c r="E85" s="217"/>
    </row>
    <row r="86">
      <c r="A86" s="218"/>
      <c r="C86" s="153" t="s">
        <v>164</v>
      </c>
      <c r="D86" s="216"/>
      <c r="E86" s="217"/>
    </row>
    <row r="87">
      <c r="A87" s="218"/>
      <c r="C87" s="174" t="s">
        <v>177</v>
      </c>
      <c r="D87" s="216"/>
      <c r="E87" s="217"/>
    </row>
    <row r="88">
      <c r="A88" s="223"/>
      <c r="B88" s="224"/>
      <c r="C88" s="225" t="s">
        <v>187</v>
      </c>
      <c r="D88" s="226"/>
      <c r="E88" s="227"/>
    </row>
  </sheetData>
  <mergeCells count="8">
    <mergeCell ref="A63:C63"/>
    <mergeCell ref="A64:C64"/>
    <mergeCell ref="A65:C65"/>
    <mergeCell ref="A66:C66"/>
    <mergeCell ref="A67:C67"/>
    <mergeCell ref="A68:C68"/>
    <mergeCell ref="A69:C69"/>
    <mergeCell ref="A77:B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34.25"/>
    <col customWidth="1" min="3" max="3" width="101.63"/>
    <col customWidth="1" min="4" max="4" width="125.38"/>
  </cols>
  <sheetData>
    <row r="1">
      <c r="A1" s="228" t="s">
        <v>211</v>
      </c>
      <c r="B1" s="229" t="s">
        <v>212</v>
      </c>
      <c r="C1" s="230" t="s">
        <v>213</v>
      </c>
      <c r="D1" s="231" t="s">
        <v>214</v>
      </c>
    </row>
    <row r="2">
      <c r="A2" s="228" t="s">
        <v>215</v>
      </c>
      <c r="B2" s="229">
        <v>100.0</v>
      </c>
      <c r="C2" s="230" t="s">
        <v>216</v>
      </c>
      <c r="D2" s="232"/>
    </row>
    <row r="3">
      <c r="A3" s="228" t="s">
        <v>217</v>
      </c>
      <c r="B3" s="229" t="s">
        <v>218</v>
      </c>
      <c r="C3" s="230" t="s">
        <v>219</v>
      </c>
      <c r="D3" s="231" t="s">
        <v>220</v>
      </c>
    </row>
    <row r="4">
      <c r="A4" s="228" t="s">
        <v>221</v>
      </c>
      <c r="B4" s="229">
        <v>500.0</v>
      </c>
      <c r="C4" s="230" t="s">
        <v>222</v>
      </c>
      <c r="D4" s="231" t="s">
        <v>223</v>
      </c>
    </row>
    <row r="5">
      <c r="A5" s="228" t="s">
        <v>224</v>
      </c>
      <c r="B5" s="229">
        <v>150.0</v>
      </c>
      <c r="C5" s="230" t="s">
        <v>225</v>
      </c>
      <c r="D5" s="232"/>
    </row>
    <row r="6">
      <c r="A6" s="228" t="s">
        <v>226</v>
      </c>
      <c r="B6" s="229">
        <v>300.0</v>
      </c>
      <c r="C6" s="230" t="s">
        <v>227</v>
      </c>
      <c r="D6" s="232"/>
    </row>
    <row r="7">
      <c r="A7" s="228" t="s">
        <v>228</v>
      </c>
      <c r="B7" s="229" t="s">
        <v>229</v>
      </c>
      <c r="C7" s="230" t="s">
        <v>230</v>
      </c>
      <c r="D7" s="232"/>
    </row>
    <row r="8">
      <c r="A8" s="228" t="s">
        <v>231</v>
      </c>
      <c r="B8" s="229" t="s">
        <v>232</v>
      </c>
      <c r="C8" s="230" t="s">
        <v>233</v>
      </c>
      <c r="D8" s="232"/>
    </row>
    <row r="9">
      <c r="A9" s="228" t="s">
        <v>234</v>
      </c>
      <c r="B9" s="229" t="s">
        <v>235</v>
      </c>
      <c r="C9" s="230" t="s">
        <v>236</v>
      </c>
      <c r="D9" s="232"/>
    </row>
    <row r="10">
      <c r="A10" s="228" t="s">
        <v>237</v>
      </c>
      <c r="B10" s="229" t="s">
        <v>238</v>
      </c>
      <c r="C10" s="230" t="s">
        <v>239</v>
      </c>
      <c r="D10" s="231" t="s">
        <v>240</v>
      </c>
    </row>
    <row r="11">
      <c r="A11" s="228" t="s">
        <v>241</v>
      </c>
      <c r="B11" s="229" t="s">
        <v>242</v>
      </c>
      <c r="C11" s="230" t="s">
        <v>243</v>
      </c>
      <c r="D11" s="231" t="s">
        <v>244</v>
      </c>
    </row>
    <row r="12" ht="48.0" customHeight="1">
      <c r="C12" s="233" t="s">
        <v>245</v>
      </c>
    </row>
    <row r="13">
      <c r="A13" s="228" t="s">
        <v>246</v>
      </c>
      <c r="B13" s="229" t="s">
        <v>212</v>
      </c>
      <c r="C13" s="230" t="s">
        <v>213</v>
      </c>
      <c r="D13" s="231" t="s">
        <v>247</v>
      </c>
    </row>
    <row r="14">
      <c r="A14" s="228" t="s">
        <v>248</v>
      </c>
      <c r="B14" s="229" t="s">
        <v>249</v>
      </c>
      <c r="C14" s="230" t="s">
        <v>250</v>
      </c>
      <c r="D14" s="231" t="s">
        <v>251</v>
      </c>
    </row>
    <row r="15">
      <c r="A15" s="228" t="s">
        <v>252</v>
      </c>
      <c r="B15" s="229" t="s">
        <v>253</v>
      </c>
      <c r="C15" s="230" t="s">
        <v>254</v>
      </c>
      <c r="D15" s="231" t="s">
        <v>255</v>
      </c>
    </row>
    <row r="16">
      <c r="A16" s="228" t="s">
        <v>256</v>
      </c>
      <c r="B16" s="229" t="s">
        <v>257</v>
      </c>
      <c r="C16" s="230" t="s">
        <v>258</v>
      </c>
      <c r="D16" s="231" t="s">
        <v>259</v>
      </c>
    </row>
    <row r="17">
      <c r="A17" s="228" t="s">
        <v>260</v>
      </c>
      <c r="B17" s="229" t="s">
        <v>261</v>
      </c>
      <c r="C17" s="230" t="s">
        <v>262</v>
      </c>
      <c r="D17" s="231" t="s">
        <v>263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 customWidth="1" min="2" max="2" width="31.25"/>
    <col customWidth="1" min="3" max="3" width="10.13"/>
    <col customWidth="1" min="4" max="4" width="42.13"/>
    <col customWidth="1" min="5" max="5" width="8.5"/>
    <col customWidth="1" min="6" max="6" width="19.88"/>
    <col customWidth="1" min="7" max="7" width="23.5"/>
    <col customWidth="1" min="8" max="8" width="154.63"/>
    <col customWidth="1" min="9" max="9" width="30.38"/>
  </cols>
  <sheetData>
    <row r="1">
      <c r="A1" s="234" t="s">
        <v>264</v>
      </c>
      <c r="B1" s="234" t="s">
        <v>265</v>
      </c>
      <c r="C1" s="234" t="s">
        <v>266</v>
      </c>
      <c r="D1" s="235" t="s">
        <v>267</v>
      </c>
      <c r="E1" s="235" t="s">
        <v>1</v>
      </c>
      <c r="F1" s="234" t="s">
        <v>268</v>
      </c>
      <c r="G1" s="234" t="s">
        <v>269</v>
      </c>
      <c r="H1" s="236" t="s">
        <v>270</v>
      </c>
      <c r="I1" s="237" t="s">
        <v>2</v>
      </c>
      <c r="J1" s="234" t="s">
        <v>271</v>
      </c>
      <c r="K1" s="238"/>
      <c r="L1" s="238"/>
      <c r="M1" s="239"/>
      <c r="N1" s="239"/>
      <c r="O1" s="239"/>
      <c r="P1" s="239"/>
      <c r="Q1" s="239"/>
      <c r="R1" s="239"/>
      <c r="S1" s="239"/>
      <c r="T1" s="239"/>
      <c r="U1" s="239"/>
      <c r="V1" s="239"/>
      <c r="W1" s="239"/>
      <c r="X1" s="239"/>
      <c r="Y1" s="239"/>
      <c r="Z1" s="239"/>
      <c r="AA1" s="239"/>
      <c r="AB1" s="239"/>
      <c r="AC1" s="239"/>
    </row>
    <row r="2">
      <c r="A2" s="240" t="s">
        <v>272</v>
      </c>
      <c r="B2" s="241" t="s">
        <v>273</v>
      </c>
      <c r="C2" s="242">
        <f>sum(E2:E6)</f>
        <v>15</v>
      </c>
      <c r="D2" s="243" t="s">
        <v>274</v>
      </c>
      <c r="E2" s="244">
        <v>2.0</v>
      </c>
      <c r="F2" s="172"/>
      <c r="G2" s="173"/>
      <c r="H2" s="245" t="s">
        <v>275</v>
      </c>
      <c r="I2" s="246" t="s">
        <v>177</v>
      </c>
      <c r="K2" s="247"/>
      <c r="L2" s="247"/>
    </row>
    <row r="3">
      <c r="A3" s="248"/>
      <c r="D3" s="249" t="s">
        <v>180</v>
      </c>
      <c r="E3" s="244">
        <v>3.0</v>
      </c>
      <c r="F3" s="172"/>
      <c r="G3" s="173"/>
      <c r="H3" s="250" t="s">
        <v>181</v>
      </c>
      <c r="I3" s="246" t="s">
        <v>177</v>
      </c>
      <c r="K3" s="247"/>
      <c r="L3" s="247"/>
    </row>
    <row r="4">
      <c r="A4" s="248"/>
      <c r="D4" s="251" t="s">
        <v>276</v>
      </c>
      <c r="E4" s="251">
        <v>4.0</v>
      </c>
      <c r="F4" s="252"/>
      <c r="G4" s="253"/>
      <c r="H4" s="254" t="s">
        <v>277</v>
      </c>
      <c r="I4" s="255" t="s">
        <v>8</v>
      </c>
      <c r="K4" s="247"/>
      <c r="L4" s="247"/>
    </row>
    <row r="5">
      <c r="A5" s="248"/>
      <c r="D5" s="256" t="s">
        <v>278</v>
      </c>
      <c r="E5" s="251">
        <v>2.0</v>
      </c>
      <c r="F5" s="257"/>
      <c r="G5" s="258"/>
      <c r="H5" s="254" t="s">
        <v>279</v>
      </c>
      <c r="I5" s="255" t="s">
        <v>106</v>
      </c>
      <c r="K5" s="247"/>
      <c r="L5" s="247"/>
    </row>
    <row r="6">
      <c r="A6" s="259"/>
      <c r="B6" s="260"/>
      <c r="C6" s="260"/>
      <c r="D6" s="251" t="s">
        <v>280</v>
      </c>
      <c r="E6" s="251">
        <v>4.0</v>
      </c>
      <c r="F6" s="257"/>
      <c r="G6" s="258"/>
      <c r="H6" s="254" t="s">
        <v>281</v>
      </c>
      <c r="I6" s="255" t="s">
        <v>66</v>
      </c>
      <c r="K6" s="247"/>
      <c r="L6" s="247"/>
    </row>
    <row r="7">
      <c r="A7" s="261" t="s">
        <v>282</v>
      </c>
      <c r="B7" s="262" t="s">
        <v>283</v>
      </c>
      <c r="C7" s="263">
        <f>sum(E7:E12)</f>
        <v>15</v>
      </c>
      <c r="D7" s="264" t="s">
        <v>144</v>
      </c>
      <c r="E7" s="264">
        <v>5.0</v>
      </c>
      <c r="F7" s="265"/>
      <c r="G7" s="265"/>
      <c r="H7" s="266" t="s">
        <v>146</v>
      </c>
      <c r="I7" s="267" t="s">
        <v>145</v>
      </c>
      <c r="K7" s="247"/>
      <c r="L7" s="247"/>
    </row>
    <row r="8">
      <c r="A8" s="248"/>
      <c r="D8" s="251" t="s">
        <v>65</v>
      </c>
      <c r="E8" s="251">
        <v>3.0</v>
      </c>
      <c r="F8" s="257"/>
      <c r="G8" s="258"/>
      <c r="H8" s="254" t="s">
        <v>284</v>
      </c>
      <c r="I8" s="255" t="s">
        <v>66</v>
      </c>
      <c r="K8" s="247"/>
      <c r="L8" s="247"/>
    </row>
    <row r="9">
      <c r="A9" s="248"/>
      <c r="D9" s="251" t="s">
        <v>20</v>
      </c>
      <c r="E9" s="251">
        <v>2.0</v>
      </c>
      <c r="F9" s="252"/>
      <c r="G9" s="253"/>
      <c r="H9" s="254" t="s">
        <v>21</v>
      </c>
      <c r="I9" s="255" t="s">
        <v>8</v>
      </c>
      <c r="K9" s="247"/>
      <c r="L9" s="247"/>
    </row>
    <row r="10">
      <c r="A10" s="248"/>
      <c r="D10" s="268" t="s">
        <v>180</v>
      </c>
      <c r="E10" s="269">
        <v>3.0</v>
      </c>
      <c r="F10" s="270"/>
      <c r="G10" s="270"/>
      <c r="H10" s="271" t="s">
        <v>181</v>
      </c>
      <c r="I10" s="272" t="s">
        <v>177</v>
      </c>
      <c r="K10" s="247"/>
      <c r="L10" s="247"/>
    </row>
    <row r="11">
      <c r="A11" s="248"/>
      <c r="D11" s="273" t="s">
        <v>121</v>
      </c>
      <c r="E11" s="273">
        <v>1.0</v>
      </c>
      <c r="F11" s="3"/>
      <c r="G11" s="274"/>
      <c r="H11" s="275" t="s">
        <v>122</v>
      </c>
      <c r="I11" s="276" t="s">
        <v>106</v>
      </c>
      <c r="K11" s="247"/>
      <c r="L11" s="247"/>
    </row>
    <row r="12">
      <c r="A12" s="259"/>
      <c r="B12" s="260"/>
      <c r="C12" s="260"/>
      <c r="D12" s="277" t="s">
        <v>285</v>
      </c>
      <c r="E12" s="277">
        <v>1.0</v>
      </c>
      <c r="F12" s="278"/>
      <c r="G12" s="279"/>
      <c r="H12" s="280" t="s">
        <v>116</v>
      </c>
      <c r="I12" s="281" t="s">
        <v>106</v>
      </c>
      <c r="K12" s="247"/>
      <c r="L12" s="247"/>
    </row>
    <row r="13">
      <c r="A13" s="261" t="s">
        <v>286</v>
      </c>
      <c r="B13" s="262" t="s">
        <v>287</v>
      </c>
      <c r="C13" s="282">
        <f>sum(E13:E19)</f>
        <v>14</v>
      </c>
      <c r="D13" s="264" t="s">
        <v>285</v>
      </c>
      <c r="E13" s="264">
        <v>1.0</v>
      </c>
      <c r="F13" s="283"/>
      <c r="G13" s="284"/>
      <c r="H13" s="285" t="s">
        <v>116</v>
      </c>
      <c r="I13" s="286" t="s">
        <v>106</v>
      </c>
      <c r="K13" s="247"/>
      <c r="L13" s="247"/>
    </row>
    <row r="14">
      <c r="A14" s="248"/>
      <c r="D14" s="251" t="s">
        <v>154</v>
      </c>
      <c r="E14" s="251">
        <v>2.0</v>
      </c>
      <c r="F14" s="256"/>
      <c r="G14" s="253"/>
      <c r="H14" s="254" t="s">
        <v>155</v>
      </c>
      <c r="I14" s="287" t="s">
        <v>145</v>
      </c>
      <c r="K14" s="247"/>
      <c r="L14" s="247"/>
    </row>
    <row r="15">
      <c r="A15" s="248"/>
      <c r="D15" s="288" t="s">
        <v>190</v>
      </c>
      <c r="E15" s="289">
        <v>1.0</v>
      </c>
      <c r="F15" s="12"/>
      <c r="G15" s="290"/>
      <c r="H15" s="291" t="s">
        <v>191</v>
      </c>
      <c r="I15" s="292" t="s">
        <v>187</v>
      </c>
      <c r="K15" s="247"/>
      <c r="L15" s="247"/>
    </row>
    <row r="16">
      <c r="A16" s="248"/>
      <c r="D16" s="251" t="s">
        <v>59</v>
      </c>
      <c r="E16" s="251">
        <v>1.0</v>
      </c>
      <c r="F16" s="251"/>
      <c r="G16" s="251"/>
      <c r="H16" s="293" t="s">
        <v>60</v>
      </c>
      <c r="I16" s="255" t="s">
        <v>44</v>
      </c>
      <c r="K16" s="247"/>
      <c r="L16" s="247"/>
    </row>
    <row r="17">
      <c r="A17" s="248"/>
      <c r="D17" s="251" t="s">
        <v>163</v>
      </c>
      <c r="E17" s="251">
        <v>2.0</v>
      </c>
      <c r="F17" s="256"/>
      <c r="G17" s="252"/>
      <c r="H17" s="294" t="s">
        <v>165</v>
      </c>
      <c r="I17" s="255" t="s">
        <v>164</v>
      </c>
      <c r="K17" s="247"/>
      <c r="L17" s="247"/>
    </row>
    <row r="18">
      <c r="A18" s="248"/>
      <c r="D18" s="295" t="s">
        <v>80</v>
      </c>
      <c r="E18" s="295">
        <v>2.0</v>
      </c>
      <c r="F18" s="70"/>
      <c r="G18" s="72"/>
      <c r="H18" s="296" t="s">
        <v>81</v>
      </c>
      <c r="I18" s="297" t="s">
        <v>66</v>
      </c>
      <c r="K18" s="247"/>
      <c r="L18" s="247"/>
    </row>
    <row r="19">
      <c r="A19" s="259"/>
      <c r="B19" s="260"/>
      <c r="C19" s="260"/>
      <c r="D19" s="298" t="s">
        <v>144</v>
      </c>
      <c r="E19" s="277">
        <v>5.0</v>
      </c>
      <c r="F19" s="299"/>
      <c r="G19" s="299"/>
      <c r="H19" s="300" t="s">
        <v>146</v>
      </c>
      <c r="I19" s="301" t="s">
        <v>145</v>
      </c>
      <c r="K19" s="247"/>
      <c r="L19" s="247"/>
    </row>
    <row r="20">
      <c r="A20" s="302" t="s">
        <v>288</v>
      </c>
      <c r="B20" s="303" t="s">
        <v>289</v>
      </c>
      <c r="C20" s="282">
        <f>sum(E20:E26)</f>
        <v>14</v>
      </c>
      <c r="D20" s="304" t="s">
        <v>176</v>
      </c>
      <c r="E20" s="304">
        <v>3.0</v>
      </c>
      <c r="F20" s="305"/>
      <c r="G20" s="305"/>
      <c r="H20" s="285" t="s">
        <v>290</v>
      </c>
      <c r="I20" s="286" t="s">
        <v>177</v>
      </c>
      <c r="K20" s="247"/>
      <c r="L20" s="247"/>
    </row>
    <row r="21">
      <c r="A21" s="248"/>
      <c r="D21" s="251" t="s">
        <v>167</v>
      </c>
      <c r="E21" s="251">
        <v>2.0</v>
      </c>
      <c r="F21" s="306"/>
      <c r="G21" s="306"/>
      <c r="H21" s="293" t="s">
        <v>168</v>
      </c>
      <c r="I21" s="255" t="s">
        <v>164</v>
      </c>
      <c r="K21" s="247"/>
      <c r="L21" s="247"/>
    </row>
    <row r="22">
      <c r="A22" s="248"/>
      <c r="D22" s="306" t="s">
        <v>98</v>
      </c>
      <c r="E22" s="306">
        <v>2.0</v>
      </c>
      <c r="F22" s="274"/>
      <c r="G22" s="274"/>
      <c r="H22" s="275" t="s">
        <v>100</v>
      </c>
      <c r="I22" s="255" t="s">
        <v>99</v>
      </c>
      <c r="K22" s="247"/>
      <c r="L22" s="247"/>
    </row>
    <row r="23">
      <c r="A23" s="248"/>
      <c r="D23" s="251" t="s">
        <v>50</v>
      </c>
      <c r="E23" s="251">
        <v>2.0</v>
      </c>
      <c r="F23" s="252"/>
      <c r="G23" s="253"/>
      <c r="H23" s="254" t="s">
        <v>51</v>
      </c>
      <c r="I23" s="255" t="s">
        <v>44</v>
      </c>
      <c r="K23" s="247"/>
      <c r="L23" s="247"/>
    </row>
    <row r="24">
      <c r="A24" s="248"/>
      <c r="D24" s="298" t="s">
        <v>77</v>
      </c>
      <c r="E24" s="298">
        <v>2.0</v>
      </c>
      <c r="F24" s="70"/>
      <c r="G24" s="71"/>
      <c r="H24" s="71" t="s">
        <v>78</v>
      </c>
      <c r="I24" s="307" t="s">
        <v>66</v>
      </c>
      <c r="K24" s="247"/>
      <c r="L24" s="247"/>
    </row>
    <row r="25">
      <c r="A25" s="248"/>
      <c r="D25" s="251" t="s">
        <v>291</v>
      </c>
      <c r="E25" s="251">
        <v>2.0</v>
      </c>
      <c r="F25" s="257"/>
      <c r="G25" s="258"/>
      <c r="H25" s="254" t="s">
        <v>284</v>
      </c>
      <c r="I25" s="255" t="s">
        <v>66</v>
      </c>
      <c r="K25" s="247"/>
      <c r="L25" s="247"/>
    </row>
    <row r="26">
      <c r="A26" s="259"/>
      <c r="B26" s="260"/>
      <c r="C26" s="260"/>
      <c r="D26" s="277" t="s">
        <v>292</v>
      </c>
      <c r="E26" s="277">
        <v>1.0</v>
      </c>
      <c r="F26" s="308"/>
      <c r="G26" s="308"/>
      <c r="H26" s="300" t="s">
        <v>293</v>
      </c>
      <c r="I26" s="281" t="s">
        <v>106</v>
      </c>
      <c r="K26" s="247"/>
      <c r="L26" s="247"/>
    </row>
    <row r="27">
      <c r="A27" s="261" t="s">
        <v>294</v>
      </c>
      <c r="B27" s="262" t="s">
        <v>295</v>
      </c>
      <c r="C27" s="282">
        <f>sum(E27:E33)</f>
        <v>14</v>
      </c>
      <c r="D27" s="264" t="s">
        <v>65</v>
      </c>
      <c r="E27" s="264">
        <v>3.0</v>
      </c>
      <c r="F27" s="283"/>
      <c r="G27" s="284"/>
      <c r="H27" s="285" t="s">
        <v>284</v>
      </c>
      <c r="I27" s="309" t="s">
        <v>66</v>
      </c>
      <c r="J27" s="310"/>
      <c r="K27" s="247"/>
      <c r="L27" s="247"/>
    </row>
    <row r="28">
      <c r="A28" s="248"/>
      <c r="D28" s="251" t="s">
        <v>296</v>
      </c>
      <c r="E28" s="251">
        <v>1.0</v>
      </c>
      <c r="F28" s="256"/>
      <c r="G28" s="253"/>
      <c r="H28" s="254" t="s">
        <v>297</v>
      </c>
      <c r="I28" s="255" t="s">
        <v>8</v>
      </c>
      <c r="J28" s="310"/>
      <c r="K28" s="247"/>
      <c r="L28" s="247"/>
    </row>
    <row r="29">
      <c r="A29" s="248"/>
      <c r="D29" s="251" t="s">
        <v>298</v>
      </c>
      <c r="E29" s="251">
        <v>3.0</v>
      </c>
      <c r="F29" s="256"/>
      <c r="G29" s="253"/>
      <c r="H29" s="254" t="s">
        <v>299</v>
      </c>
      <c r="I29" s="255" t="s">
        <v>8</v>
      </c>
      <c r="J29" s="310"/>
      <c r="K29" s="247"/>
      <c r="L29" s="247"/>
    </row>
    <row r="30">
      <c r="A30" s="248"/>
      <c r="D30" s="251" t="s">
        <v>163</v>
      </c>
      <c r="E30" s="251">
        <v>2.0</v>
      </c>
      <c r="F30" s="256"/>
      <c r="G30" s="253"/>
      <c r="H30" s="254" t="s">
        <v>165</v>
      </c>
      <c r="I30" s="311" t="s">
        <v>164</v>
      </c>
      <c r="J30" s="310"/>
      <c r="K30" s="247"/>
      <c r="L30" s="247"/>
    </row>
    <row r="31">
      <c r="A31" s="248"/>
      <c r="D31" s="249" t="s">
        <v>180</v>
      </c>
      <c r="E31" s="244">
        <v>3.0</v>
      </c>
      <c r="F31" s="172"/>
      <c r="G31" s="173"/>
      <c r="H31" s="250" t="s">
        <v>181</v>
      </c>
      <c r="I31" s="312" t="s">
        <v>177</v>
      </c>
      <c r="J31" s="310"/>
      <c r="K31" s="247"/>
      <c r="L31" s="247"/>
    </row>
    <row r="32">
      <c r="A32" s="248"/>
      <c r="D32" s="288" t="s">
        <v>190</v>
      </c>
      <c r="E32" s="289">
        <v>1.0</v>
      </c>
      <c r="F32" s="12"/>
      <c r="G32" s="290"/>
      <c r="H32" s="291" t="s">
        <v>191</v>
      </c>
      <c r="I32" s="313" t="s">
        <v>187</v>
      </c>
      <c r="J32" s="310"/>
      <c r="K32" s="247"/>
      <c r="L32" s="247"/>
    </row>
    <row r="33">
      <c r="A33" s="259"/>
      <c r="B33" s="260"/>
      <c r="C33" s="260"/>
      <c r="D33" s="277" t="s">
        <v>300</v>
      </c>
      <c r="E33" s="314">
        <v>1.0</v>
      </c>
      <c r="F33" s="315"/>
      <c r="G33" s="316"/>
      <c r="H33" s="280" t="s">
        <v>301</v>
      </c>
      <c r="I33" s="317" t="s">
        <v>106</v>
      </c>
      <c r="J33" s="310"/>
      <c r="K33" s="247"/>
      <c r="L33" s="247"/>
    </row>
    <row r="34">
      <c r="A34" s="261" t="s">
        <v>302</v>
      </c>
      <c r="B34" s="318" t="s">
        <v>303</v>
      </c>
      <c r="C34" s="263">
        <f>sum(E34:E39)</f>
        <v>14</v>
      </c>
      <c r="D34" s="319" t="s">
        <v>77</v>
      </c>
      <c r="E34" s="319">
        <v>2.0</v>
      </c>
      <c r="F34" s="63"/>
      <c r="G34" s="64"/>
      <c r="H34" s="64" t="s">
        <v>78</v>
      </c>
      <c r="I34" s="320" t="s">
        <v>66</v>
      </c>
      <c r="K34" s="247"/>
      <c r="L34" s="247"/>
    </row>
    <row r="35">
      <c r="A35" s="248"/>
      <c r="D35" s="321" t="s">
        <v>102</v>
      </c>
      <c r="E35" s="322">
        <v>2.0</v>
      </c>
      <c r="F35" s="323"/>
      <c r="G35" s="324"/>
      <c r="H35" s="324" t="s">
        <v>103</v>
      </c>
      <c r="I35" s="325" t="s">
        <v>99</v>
      </c>
      <c r="K35" s="247"/>
      <c r="L35" s="247"/>
    </row>
    <row r="36">
      <c r="A36" s="248"/>
      <c r="D36" s="251" t="s">
        <v>144</v>
      </c>
      <c r="E36" s="251">
        <v>5.0</v>
      </c>
      <c r="F36" s="306"/>
      <c r="G36" s="306"/>
      <c r="H36" s="293" t="s">
        <v>146</v>
      </c>
      <c r="I36" s="287" t="s">
        <v>145</v>
      </c>
      <c r="K36" s="247"/>
      <c r="L36" s="247"/>
    </row>
    <row r="37">
      <c r="A37" s="248"/>
      <c r="D37" s="251" t="s">
        <v>154</v>
      </c>
      <c r="E37" s="251">
        <v>2.0</v>
      </c>
      <c r="F37" s="256"/>
      <c r="G37" s="253"/>
      <c r="H37" s="254" t="s">
        <v>155</v>
      </c>
      <c r="I37" s="287" t="s">
        <v>145</v>
      </c>
      <c r="K37" s="247"/>
      <c r="L37" s="247"/>
    </row>
    <row r="38">
      <c r="A38" s="248"/>
      <c r="D38" s="251" t="s">
        <v>167</v>
      </c>
      <c r="E38" s="251">
        <v>2.0</v>
      </c>
      <c r="F38" s="306"/>
      <c r="G38" s="306"/>
      <c r="H38" s="293" t="s">
        <v>168</v>
      </c>
      <c r="I38" s="255" t="s">
        <v>164</v>
      </c>
      <c r="K38" s="247"/>
      <c r="L38" s="247"/>
    </row>
    <row r="39">
      <c r="A39" s="259"/>
      <c r="B39" s="260"/>
      <c r="C39" s="260"/>
      <c r="D39" s="277" t="s">
        <v>285</v>
      </c>
      <c r="E39" s="277">
        <v>1.0</v>
      </c>
      <c r="F39" s="278"/>
      <c r="G39" s="279"/>
      <c r="H39" s="280" t="s">
        <v>116</v>
      </c>
      <c r="I39" s="281" t="s">
        <v>106</v>
      </c>
      <c r="K39" s="247"/>
      <c r="L39" s="247"/>
    </row>
    <row r="40">
      <c r="A40" s="326" t="s">
        <v>304</v>
      </c>
      <c r="B40" s="327" t="s">
        <v>305</v>
      </c>
      <c r="C40" s="242">
        <f>sum(E40:E44)</f>
        <v>13</v>
      </c>
      <c r="D40" s="251" t="s">
        <v>163</v>
      </c>
      <c r="E40" s="251">
        <v>2.0</v>
      </c>
      <c r="F40" s="256"/>
      <c r="G40" s="253"/>
      <c r="H40" s="254" t="s">
        <v>165</v>
      </c>
      <c r="I40" s="255" t="s">
        <v>164</v>
      </c>
      <c r="K40" s="247"/>
      <c r="L40" s="247"/>
    </row>
    <row r="41">
      <c r="A41" s="248"/>
      <c r="D41" s="251" t="s">
        <v>65</v>
      </c>
      <c r="E41" s="251">
        <v>3.0</v>
      </c>
      <c r="F41" s="257"/>
      <c r="G41" s="258"/>
      <c r="H41" s="254" t="s">
        <v>284</v>
      </c>
      <c r="I41" s="255" t="s">
        <v>66</v>
      </c>
      <c r="K41" s="247"/>
      <c r="L41" s="247"/>
    </row>
    <row r="42">
      <c r="A42" s="248"/>
      <c r="D42" s="251" t="s">
        <v>285</v>
      </c>
      <c r="E42" s="251">
        <v>1.0</v>
      </c>
      <c r="F42" s="257"/>
      <c r="G42" s="258"/>
      <c r="H42" s="254" t="s">
        <v>116</v>
      </c>
      <c r="I42" s="255" t="s">
        <v>106</v>
      </c>
      <c r="K42" s="247"/>
      <c r="L42" s="247"/>
    </row>
    <row r="43">
      <c r="A43" s="248"/>
      <c r="D43" s="251" t="s">
        <v>154</v>
      </c>
      <c r="E43" s="251">
        <v>2.0</v>
      </c>
      <c r="F43" s="256"/>
      <c r="G43" s="253"/>
      <c r="H43" s="254" t="s">
        <v>155</v>
      </c>
      <c r="I43" s="287" t="s">
        <v>145</v>
      </c>
      <c r="K43" s="247"/>
      <c r="L43" s="247"/>
    </row>
    <row r="44">
      <c r="A44" s="259"/>
      <c r="B44" s="260"/>
      <c r="C44" s="260"/>
      <c r="D44" s="277" t="s">
        <v>144</v>
      </c>
      <c r="E44" s="277">
        <v>5.0</v>
      </c>
      <c r="F44" s="299"/>
      <c r="G44" s="299"/>
      <c r="H44" s="300" t="s">
        <v>146</v>
      </c>
      <c r="I44" s="301" t="s">
        <v>145</v>
      </c>
      <c r="K44" s="247"/>
      <c r="L44" s="247"/>
    </row>
    <row r="45">
      <c r="A45" s="328" t="s">
        <v>306</v>
      </c>
      <c r="B45" s="329" t="s">
        <v>307</v>
      </c>
      <c r="C45" s="282">
        <f>sum(E45:E51)</f>
        <v>13</v>
      </c>
      <c r="D45" s="264" t="s">
        <v>65</v>
      </c>
      <c r="E45" s="264">
        <v>3.0</v>
      </c>
      <c r="F45" s="330"/>
      <c r="G45" s="305"/>
      <c r="H45" s="285" t="s">
        <v>284</v>
      </c>
      <c r="I45" s="286" t="s">
        <v>66</v>
      </c>
      <c r="K45" s="247"/>
      <c r="L45" s="247"/>
    </row>
    <row r="46">
      <c r="A46" s="248"/>
      <c r="I46" s="331"/>
      <c r="K46" s="247"/>
      <c r="L46" s="247"/>
    </row>
    <row r="47">
      <c r="A47" s="248"/>
      <c r="D47" s="251" t="s">
        <v>23</v>
      </c>
      <c r="E47" s="251">
        <v>2.0</v>
      </c>
      <c r="F47" s="256"/>
      <c r="G47" s="253"/>
      <c r="H47" s="254" t="s">
        <v>308</v>
      </c>
      <c r="I47" s="255" t="s">
        <v>24</v>
      </c>
      <c r="K47" s="247"/>
      <c r="L47" s="247"/>
    </row>
    <row r="48">
      <c r="A48" s="248"/>
      <c r="D48" s="251" t="s">
        <v>163</v>
      </c>
      <c r="E48" s="251">
        <v>2.0</v>
      </c>
      <c r="F48" s="256"/>
      <c r="G48" s="253"/>
      <c r="H48" s="254" t="s">
        <v>165</v>
      </c>
      <c r="I48" s="255" t="s">
        <v>164</v>
      </c>
      <c r="K48" s="247"/>
      <c r="L48" s="247"/>
    </row>
    <row r="49">
      <c r="A49" s="248"/>
      <c r="D49" s="251" t="s">
        <v>167</v>
      </c>
      <c r="E49" s="251">
        <v>2.0</v>
      </c>
      <c r="F49" s="306"/>
      <c r="G49" s="306"/>
      <c r="H49" s="293" t="s">
        <v>168</v>
      </c>
      <c r="I49" s="255" t="s">
        <v>164</v>
      </c>
      <c r="K49" s="247"/>
      <c r="L49" s="247"/>
    </row>
    <row r="50">
      <c r="A50" s="248"/>
      <c r="D50" s="251" t="s">
        <v>309</v>
      </c>
      <c r="E50" s="251">
        <v>2.0</v>
      </c>
      <c r="F50" s="306"/>
      <c r="G50" s="306"/>
      <c r="H50" s="293" t="s">
        <v>310</v>
      </c>
      <c r="I50" s="255" t="s">
        <v>8</v>
      </c>
      <c r="K50" s="247"/>
      <c r="L50" s="247"/>
    </row>
    <row r="51">
      <c r="A51" s="259"/>
      <c r="B51" s="260"/>
      <c r="C51" s="260"/>
      <c r="D51" s="277" t="s">
        <v>311</v>
      </c>
      <c r="E51" s="277">
        <v>2.0</v>
      </c>
      <c r="F51" s="299"/>
      <c r="G51" s="299"/>
      <c r="H51" s="300" t="s">
        <v>312</v>
      </c>
      <c r="I51" s="281" t="s">
        <v>8</v>
      </c>
      <c r="K51" s="247"/>
      <c r="L51" s="247"/>
    </row>
    <row r="52">
      <c r="A52" s="261" t="s">
        <v>313</v>
      </c>
      <c r="B52" s="262" t="s">
        <v>314</v>
      </c>
      <c r="C52" s="263">
        <f>sum(E52:E58)</f>
        <v>13</v>
      </c>
      <c r="D52" s="265" t="s">
        <v>98</v>
      </c>
      <c r="E52" s="265">
        <v>2.0</v>
      </c>
      <c r="F52" s="332"/>
      <c r="G52" s="332"/>
      <c r="H52" s="333" t="s">
        <v>100</v>
      </c>
      <c r="I52" s="286" t="s">
        <v>99</v>
      </c>
      <c r="K52" s="247"/>
      <c r="L52" s="247"/>
    </row>
    <row r="53">
      <c r="A53" s="248"/>
      <c r="D53" s="334" t="s">
        <v>40</v>
      </c>
      <c r="E53" s="335">
        <v>1.0</v>
      </c>
      <c r="F53" s="39"/>
      <c r="G53" s="41"/>
      <c r="H53" s="41" t="s">
        <v>41</v>
      </c>
      <c r="I53" s="336" t="s">
        <v>31</v>
      </c>
      <c r="K53" s="247"/>
      <c r="L53" s="247"/>
    </row>
    <row r="54">
      <c r="A54" s="248"/>
      <c r="D54" s="251" t="s">
        <v>50</v>
      </c>
      <c r="E54" s="251">
        <v>2.0</v>
      </c>
      <c r="F54" s="252"/>
      <c r="G54" s="253"/>
      <c r="H54" s="254" t="s">
        <v>51</v>
      </c>
      <c r="I54" s="255" t="s">
        <v>44</v>
      </c>
      <c r="K54" s="247"/>
      <c r="L54" s="247"/>
    </row>
    <row r="55">
      <c r="A55" s="248"/>
      <c r="D55" s="251" t="s">
        <v>65</v>
      </c>
      <c r="E55" s="251">
        <v>3.0</v>
      </c>
      <c r="F55" s="257"/>
      <c r="G55" s="258"/>
      <c r="H55" s="254" t="s">
        <v>284</v>
      </c>
      <c r="I55" s="255" t="s">
        <v>66</v>
      </c>
      <c r="K55" s="247"/>
      <c r="L55" s="247"/>
    </row>
    <row r="56">
      <c r="A56" s="248"/>
      <c r="D56" s="306" t="s">
        <v>62</v>
      </c>
      <c r="E56" s="306">
        <v>1.0</v>
      </c>
      <c r="F56" s="274"/>
      <c r="G56" s="274"/>
      <c r="H56" s="275" t="s">
        <v>63</v>
      </c>
      <c r="I56" s="255" t="s">
        <v>44</v>
      </c>
      <c r="K56" s="247"/>
      <c r="L56" s="247"/>
    </row>
    <row r="57">
      <c r="A57" s="248"/>
      <c r="D57" s="251" t="s">
        <v>163</v>
      </c>
      <c r="E57" s="251">
        <v>2.0</v>
      </c>
      <c r="F57" s="256"/>
      <c r="G57" s="252"/>
      <c r="H57" s="294" t="s">
        <v>165</v>
      </c>
      <c r="I57" s="255" t="s">
        <v>164</v>
      </c>
      <c r="K57" s="247"/>
      <c r="L57" s="247"/>
    </row>
    <row r="58">
      <c r="A58" s="259"/>
      <c r="B58" s="260"/>
      <c r="C58" s="260"/>
      <c r="D58" s="337" t="s">
        <v>315</v>
      </c>
      <c r="E58" s="338">
        <v>2.0</v>
      </c>
      <c r="F58" s="339"/>
      <c r="G58" s="339"/>
      <c r="H58" s="340" t="s">
        <v>316</v>
      </c>
      <c r="I58" s="255" t="s">
        <v>8</v>
      </c>
      <c r="K58" s="247"/>
      <c r="L58" s="247"/>
    </row>
    <row r="59">
      <c r="A59" s="328" t="s">
        <v>317</v>
      </c>
      <c r="B59" s="341" t="s">
        <v>318</v>
      </c>
      <c r="C59" s="263">
        <f>sum(E59:E63)</f>
        <v>13</v>
      </c>
      <c r="D59" s="304" t="s">
        <v>176</v>
      </c>
      <c r="E59" s="304">
        <v>3.0</v>
      </c>
      <c r="F59" s="305"/>
      <c r="G59" s="305"/>
      <c r="H59" s="285" t="s">
        <v>290</v>
      </c>
      <c r="I59" s="286" t="s">
        <v>177</v>
      </c>
      <c r="K59" s="247"/>
      <c r="L59" s="247"/>
    </row>
    <row r="60">
      <c r="A60" s="248"/>
      <c r="D60" s="251" t="s">
        <v>144</v>
      </c>
      <c r="E60" s="251">
        <v>5.0</v>
      </c>
      <c r="F60" s="306"/>
      <c r="G60" s="306"/>
      <c r="H60" s="293" t="s">
        <v>146</v>
      </c>
      <c r="I60" s="287" t="s">
        <v>145</v>
      </c>
      <c r="K60" s="247"/>
      <c r="L60" s="247"/>
    </row>
    <row r="61">
      <c r="A61" s="248"/>
      <c r="D61" s="251" t="s">
        <v>163</v>
      </c>
      <c r="E61" s="251">
        <v>2.0</v>
      </c>
      <c r="F61" s="256"/>
      <c r="G61" s="253"/>
      <c r="H61" s="254" t="s">
        <v>165</v>
      </c>
      <c r="I61" s="255" t="s">
        <v>164</v>
      </c>
      <c r="K61" s="247"/>
      <c r="L61" s="247"/>
    </row>
    <row r="62">
      <c r="A62" s="248"/>
      <c r="D62" s="251" t="s">
        <v>56</v>
      </c>
      <c r="E62" s="251">
        <v>1.0</v>
      </c>
      <c r="F62" s="252"/>
      <c r="G62" s="253"/>
      <c r="H62" s="254" t="s">
        <v>57</v>
      </c>
      <c r="I62" s="255" t="s">
        <v>44</v>
      </c>
      <c r="K62" s="247"/>
      <c r="L62" s="247"/>
    </row>
    <row r="63">
      <c r="A63" s="259"/>
      <c r="B63" s="260"/>
      <c r="C63" s="260"/>
      <c r="D63" s="338" t="s">
        <v>151</v>
      </c>
      <c r="E63" s="338">
        <v>2.0</v>
      </c>
      <c r="F63" s="339"/>
      <c r="G63" s="339"/>
      <c r="H63" s="339" t="s">
        <v>152</v>
      </c>
      <c r="I63" s="342" t="s">
        <v>145</v>
      </c>
      <c r="K63" s="247"/>
      <c r="L63" s="247"/>
    </row>
    <row r="64" ht="45.0" customHeight="1">
      <c r="A64" s="343" t="s">
        <v>319</v>
      </c>
      <c r="B64" s="344"/>
      <c r="C64" s="344"/>
      <c r="D64" s="344"/>
      <c r="E64" s="344"/>
      <c r="F64" s="344"/>
      <c r="G64" s="344"/>
      <c r="H64" s="345"/>
      <c r="I64" s="346"/>
      <c r="J64" s="274"/>
      <c r="K64" s="274"/>
      <c r="L64" s="274"/>
      <c r="M64" s="274"/>
      <c r="N64" s="347"/>
      <c r="O64" s="347"/>
      <c r="P64" s="347"/>
      <c r="Q64" s="347"/>
      <c r="R64" s="347"/>
      <c r="S64" s="347"/>
      <c r="T64" s="347"/>
      <c r="U64" s="347"/>
      <c r="V64" s="347"/>
      <c r="W64" s="347"/>
      <c r="X64" s="347"/>
      <c r="Y64" s="347"/>
      <c r="Z64" s="347"/>
      <c r="AA64" s="347"/>
      <c r="AB64" s="347"/>
      <c r="AC64" s="347"/>
    </row>
    <row r="65">
      <c r="A65" s="348" t="s">
        <v>320</v>
      </c>
      <c r="B65" s="349" t="s">
        <v>321</v>
      </c>
      <c r="C65" s="263">
        <f>sum(E65:E72)</f>
        <v>12</v>
      </c>
      <c r="D65" s="264" t="s">
        <v>18</v>
      </c>
      <c r="E65" s="264">
        <v>2.0</v>
      </c>
      <c r="F65" s="330"/>
      <c r="G65" s="305"/>
      <c r="H65" s="350" t="s">
        <v>322</v>
      </c>
      <c r="I65" s="286" t="s">
        <v>8</v>
      </c>
      <c r="K65" s="247"/>
      <c r="L65" s="247"/>
    </row>
    <row r="66">
      <c r="A66" s="248"/>
      <c r="D66" s="251" t="s">
        <v>23</v>
      </c>
      <c r="E66" s="251">
        <v>2.0</v>
      </c>
      <c r="F66" s="351"/>
      <c r="G66" s="352"/>
      <c r="H66" s="293" t="s">
        <v>308</v>
      </c>
      <c r="I66" s="255" t="s">
        <v>24</v>
      </c>
      <c r="K66" s="247"/>
      <c r="L66" s="247"/>
    </row>
    <row r="67">
      <c r="A67" s="248"/>
      <c r="D67" s="251" t="s">
        <v>50</v>
      </c>
      <c r="E67" s="251">
        <v>2.0</v>
      </c>
      <c r="F67" s="252"/>
      <c r="G67" s="253"/>
      <c r="H67" s="254" t="s">
        <v>51</v>
      </c>
      <c r="I67" s="255" t="s">
        <v>44</v>
      </c>
      <c r="K67" s="247"/>
      <c r="L67" s="247"/>
    </row>
    <row r="68">
      <c r="A68" s="248"/>
      <c r="D68" s="251" t="s">
        <v>56</v>
      </c>
      <c r="E68" s="251">
        <v>1.0</v>
      </c>
      <c r="F68" s="252"/>
      <c r="G68" s="253"/>
      <c r="H68" s="254" t="s">
        <v>57</v>
      </c>
      <c r="I68" s="255" t="s">
        <v>44</v>
      </c>
      <c r="K68" s="247"/>
      <c r="L68" s="247"/>
    </row>
    <row r="69">
      <c r="A69" s="248"/>
      <c r="D69" s="251" t="s">
        <v>118</v>
      </c>
      <c r="E69" s="251">
        <v>1.0</v>
      </c>
      <c r="F69" s="253"/>
      <c r="G69" s="253"/>
      <c r="H69" s="254" t="s">
        <v>323</v>
      </c>
      <c r="I69" s="255" t="s">
        <v>106</v>
      </c>
      <c r="K69" s="247"/>
      <c r="L69" s="247"/>
    </row>
    <row r="70">
      <c r="A70" s="248"/>
      <c r="D70" s="353" t="s">
        <v>130</v>
      </c>
      <c r="E70" s="353">
        <v>1.0</v>
      </c>
      <c r="F70" s="105"/>
      <c r="G70" s="106"/>
      <c r="H70" s="354" t="s">
        <v>131</v>
      </c>
      <c r="I70" s="355" t="s">
        <v>106</v>
      </c>
      <c r="K70" s="247"/>
      <c r="L70" s="247"/>
    </row>
    <row r="71">
      <c r="A71" s="248"/>
      <c r="D71" s="251" t="s">
        <v>80</v>
      </c>
      <c r="E71" s="251">
        <v>2.0</v>
      </c>
      <c r="F71" s="253"/>
      <c r="G71" s="253"/>
      <c r="H71" s="254" t="s">
        <v>81</v>
      </c>
      <c r="I71" s="255" t="s">
        <v>66</v>
      </c>
      <c r="K71" s="247"/>
      <c r="L71" s="247"/>
    </row>
    <row r="72">
      <c r="A72" s="259"/>
      <c r="B72" s="260"/>
      <c r="C72" s="260"/>
      <c r="D72" s="277" t="s">
        <v>160</v>
      </c>
      <c r="E72" s="277">
        <v>1.0</v>
      </c>
      <c r="F72" s="299"/>
      <c r="G72" s="299"/>
      <c r="H72" s="280" t="s">
        <v>161</v>
      </c>
      <c r="I72" s="301" t="s">
        <v>145</v>
      </c>
      <c r="K72" s="247"/>
      <c r="L72" s="247"/>
    </row>
    <row r="73">
      <c r="A73" s="328" t="s">
        <v>324</v>
      </c>
      <c r="B73" s="303" t="s">
        <v>325</v>
      </c>
      <c r="C73" s="263">
        <f>sum(E73:E79)</f>
        <v>12</v>
      </c>
      <c r="D73" s="264" t="s">
        <v>59</v>
      </c>
      <c r="E73" s="264">
        <v>1.0</v>
      </c>
      <c r="F73" s="264"/>
      <c r="G73" s="264"/>
      <c r="H73" s="266" t="s">
        <v>60</v>
      </c>
      <c r="I73" s="286" t="s">
        <v>44</v>
      </c>
      <c r="K73" s="247"/>
      <c r="L73" s="247"/>
    </row>
    <row r="74">
      <c r="A74" s="248"/>
      <c r="D74" s="356" t="s">
        <v>326</v>
      </c>
      <c r="E74" s="357">
        <v>4.0</v>
      </c>
      <c r="F74" s="252"/>
      <c r="G74" s="253"/>
      <c r="H74" s="294" t="s">
        <v>327</v>
      </c>
      <c r="I74" s="255" t="s">
        <v>66</v>
      </c>
      <c r="K74" s="247"/>
      <c r="L74" s="247"/>
    </row>
    <row r="75">
      <c r="A75" s="248"/>
      <c r="D75" s="251" t="s">
        <v>163</v>
      </c>
      <c r="E75" s="251">
        <v>2.0</v>
      </c>
      <c r="F75" s="256"/>
      <c r="G75" s="253"/>
      <c r="H75" s="254" t="s">
        <v>165</v>
      </c>
      <c r="I75" s="255" t="s">
        <v>164</v>
      </c>
      <c r="K75" s="247"/>
      <c r="L75" s="247"/>
    </row>
    <row r="76">
      <c r="A76" s="248"/>
      <c r="D76" s="358" t="s">
        <v>151</v>
      </c>
      <c r="E76" s="358">
        <v>2.0</v>
      </c>
      <c r="F76" s="359"/>
      <c r="G76" s="359"/>
      <c r="H76" s="359" t="s">
        <v>152</v>
      </c>
      <c r="I76" s="360" t="s">
        <v>145</v>
      </c>
      <c r="K76" s="247"/>
      <c r="L76" s="247"/>
    </row>
    <row r="77">
      <c r="A77" s="248"/>
      <c r="D77" s="251" t="s">
        <v>300</v>
      </c>
      <c r="E77" s="357">
        <v>1.0</v>
      </c>
      <c r="F77" s="252"/>
      <c r="G77" s="253"/>
      <c r="H77" s="254" t="s">
        <v>301</v>
      </c>
      <c r="I77" s="255" t="s">
        <v>106</v>
      </c>
      <c r="K77" s="247"/>
      <c r="L77" s="247"/>
    </row>
    <row r="78">
      <c r="A78" s="248"/>
      <c r="D78" s="361" t="s">
        <v>138</v>
      </c>
      <c r="E78" s="362">
        <v>1.0</v>
      </c>
      <c r="F78" s="105"/>
      <c r="G78" s="114"/>
      <c r="H78" s="363" t="s">
        <v>139</v>
      </c>
      <c r="I78" s="355" t="s">
        <v>106</v>
      </c>
      <c r="K78" s="247"/>
      <c r="L78" s="247"/>
    </row>
    <row r="79">
      <c r="A79" s="259"/>
      <c r="B79" s="260"/>
      <c r="C79" s="260"/>
      <c r="D79" s="251" t="s">
        <v>121</v>
      </c>
      <c r="E79" s="251">
        <v>1.0</v>
      </c>
      <c r="F79" s="364"/>
      <c r="G79" s="364"/>
      <c r="H79" s="293" t="s">
        <v>328</v>
      </c>
      <c r="I79" s="255" t="s">
        <v>106</v>
      </c>
      <c r="K79" s="247"/>
      <c r="L79" s="247"/>
    </row>
    <row r="80">
      <c r="A80" s="261" t="s">
        <v>329</v>
      </c>
      <c r="B80" s="303" t="s">
        <v>330</v>
      </c>
      <c r="C80" s="263">
        <f>sum(E80:E85)</f>
        <v>12</v>
      </c>
      <c r="D80" s="265" t="s">
        <v>98</v>
      </c>
      <c r="E80" s="265">
        <v>2.0</v>
      </c>
      <c r="F80" s="332"/>
      <c r="G80" s="332"/>
      <c r="H80" s="333" t="s">
        <v>100</v>
      </c>
      <c r="I80" s="286" t="s">
        <v>99</v>
      </c>
      <c r="K80" s="247"/>
      <c r="L80" s="247"/>
    </row>
    <row r="81">
      <c r="A81" s="248"/>
      <c r="D81" s="251" t="s">
        <v>331</v>
      </c>
      <c r="E81" s="251">
        <v>2.0</v>
      </c>
      <c r="F81" s="252"/>
      <c r="G81" s="253"/>
      <c r="H81" s="254" t="s">
        <v>332</v>
      </c>
      <c r="I81" s="255" t="s">
        <v>8</v>
      </c>
      <c r="K81" s="247"/>
      <c r="L81" s="247"/>
    </row>
    <row r="82">
      <c r="A82" s="248"/>
      <c r="D82" s="251" t="s">
        <v>163</v>
      </c>
      <c r="E82" s="251">
        <v>2.0</v>
      </c>
      <c r="F82" s="256"/>
      <c r="G82" s="252"/>
      <c r="H82" s="294" t="s">
        <v>165</v>
      </c>
      <c r="I82" s="255" t="s">
        <v>164</v>
      </c>
      <c r="K82" s="247"/>
      <c r="L82" s="247"/>
    </row>
    <row r="83">
      <c r="A83" s="248"/>
      <c r="D83" s="249" t="s">
        <v>180</v>
      </c>
      <c r="E83" s="244">
        <v>3.0</v>
      </c>
      <c r="F83" s="172"/>
      <c r="G83" s="173"/>
      <c r="H83" s="250" t="s">
        <v>181</v>
      </c>
      <c r="I83" s="246" t="s">
        <v>177</v>
      </c>
      <c r="K83" s="247"/>
      <c r="L83" s="247"/>
    </row>
    <row r="84">
      <c r="A84" s="248"/>
      <c r="D84" s="251" t="s">
        <v>160</v>
      </c>
      <c r="E84" s="251">
        <v>1.0</v>
      </c>
      <c r="F84" s="306"/>
      <c r="G84" s="306"/>
      <c r="H84" s="293" t="s">
        <v>146</v>
      </c>
      <c r="I84" s="287" t="s">
        <v>145</v>
      </c>
      <c r="K84" s="247"/>
      <c r="L84" s="247"/>
    </row>
    <row r="85">
      <c r="A85" s="259"/>
      <c r="B85" s="260"/>
      <c r="C85" s="260"/>
      <c r="D85" s="277" t="s">
        <v>291</v>
      </c>
      <c r="E85" s="277">
        <v>2.0</v>
      </c>
      <c r="F85" s="278"/>
      <c r="G85" s="279"/>
      <c r="H85" s="280" t="s">
        <v>284</v>
      </c>
      <c r="I85" s="281" t="s">
        <v>66</v>
      </c>
      <c r="K85" s="247"/>
      <c r="L85" s="247"/>
    </row>
    <row r="86">
      <c r="A86" s="240" t="s">
        <v>333</v>
      </c>
      <c r="B86" s="241" t="s">
        <v>334</v>
      </c>
      <c r="C86" s="242">
        <f>sum(E86:E91)</f>
        <v>11</v>
      </c>
      <c r="D86" s="251" t="s">
        <v>50</v>
      </c>
      <c r="E86" s="251">
        <v>2.0</v>
      </c>
      <c r="F86" s="252"/>
      <c r="G86" s="253"/>
      <c r="H86" s="254" t="s">
        <v>51</v>
      </c>
      <c r="I86" s="255" t="s">
        <v>44</v>
      </c>
      <c r="K86" s="247"/>
      <c r="L86" s="247"/>
    </row>
    <row r="87">
      <c r="A87" s="248"/>
      <c r="D87" s="251" t="s">
        <v>59</v>
      </c>
      <c r="E87" s="251">
        <v>1.0</v>
      </c>
      <c r="F87" s="251"/>
      <c r="G87" s="251"/>
      <c r="H87" s="293" t="s">
        <v>60</v>
      </c>
      <c r="I87" s="255" t="s">
        <v>44</v>
      </c>
      <c r="K87" s="247"/>
      <c r="L87" s="247"/>
    </row>
    <row r="88">
      <c r="A88" s="248"/>
      <c r="D88" s="251" t="s">
        <v>80</v>
      </c>
      <c r="E88" s="251">
        <v>2.0</v>
      </c>
      <c r="F88" s="253"/>
      <c r="G88" s="253"/>
      <c r="H88" s="254" t="s">
        <v>81</v>
      </c>
      <c r="I88" s="255" t="s">
        <v>66</v>
      </c>
      <c r="K88" s="247"/>
      <c r="L88" s="247"/>
    </row>
    <row r="89">
      <c r="A89" s="248"/>
      <c r="D89" s="306" t="s">
        <v>98</v>
      </c>
      <c r="E89" s="306">
        <v>2.0</v>
      </c>
      <c r="F89" s="274"/>
      <c r="G89" s="274"/>
      <c r="H89" s="275" t="s">
        <v>100</v>
      </c>
      <c r="I89" s="255" t="s">
        <v>99</v>
      </c>
      <c r="K89" s="247"/>
      <c r="L89" s="247"/>
    </row>
    <row r="90">
      <c r="A90" s="248"/>
      <c r="D90" s="251" t="s">
        <v>163</v>
      </c>
      <c r="E90" s="251">
        <v>2.0</v>
      </c>
      <c r="F90" s="256"/>
      <c r="G90" s="253"/>
      <c r="H90" s="254" t="s">
        <v>165</v>
      </c>
      <c r="I90" s="255" t="s">
        <v>164</v>
      </c>
      <c r="K90" s="247"/>
      <c r="L90" s="247"/>
    </row>
    <row r="91">
      <c r="A91" s="259"/>
      <c r="B91" s="260"/>
      <c r="C91" s="260"/>
      <c r="D91" s="277" t="s">
        <v>23</v>
      </c>
      <c r="E91" s="277">
        <v>2.0</v>
      </c>
      <c r="F91" s="365"/>
      <c r="G91" s="316"/>
      <c r="H91" s="280" t="s">
        <v>308</v>
      </c>
      <c r="I91" s="281" t="s">
        <v>24</v>
      </c>
      <c r="K91" s="247"/>
      <c r="L91" s="247"/>
    </row>
    <row r="92">
      <c r="A92" s="366" t="s">
        <v>335</v>
      </c>
      <c r="B92" s="303" t="s">
        <v>336</v>
      </c>
      <c r="C92" s="282">
        <f>sum(E92:E97)</f>
        <v>11</v>
      </c>
      <c r="D92" s="264" t="s">
        <v>59</v>
      </c>
      <c r="E92" s="264">
        <v>1.0</v>
      </c>
      <c r="F92" s="264"/>
      <c r="G92" s="264"/>
      <c r="H92" s="266" t="s">
        <v>60</v>
      </c>
      <c r="I92" s="286" t="s">
        <v>44</v>
      </c>
      <c r="K92" s="247"/>
      <c r="L92" s="247"/>
    </row>
    <row r="93">
      <c r="A93" s="248"/>
      <c r="D93" s="251" t="s">
        <v>23</v>
      </c>
      <c r="E93" s="251">
        <v>2.0</v>
      </c>
      <c r="F93" s="351"/>
      <c r="G93" s="352"/>
      <c r="H93" s="293" t="s">
        <v>308</v>
      </c>
      <c r="I93" s="255" t="s">
        <v>24</v>
      </c>
      <c r="K93" s="247"/>
      <c r="L93" s="247"/>
    </row>
    <row r="94">
      <c r="A94" s="248"/>
      <c r="D94" s="306" t="s">
        <v>62</v>
      </c>
      <c r="E94" s="306">
        <v>1.0</v>
      </c>
      <c r="F94" s="274"/>
      <c r="G94" s="274"/>
      <c r="H94" s="275" t="s">
        <v>63</v>
      </c>
      <c r="I94" s="255" t="s">
        <v>44</v>
      </c>
      <c r="K94" s="247"/>
      <c r="L94" s="247"/>
    </row>
    <row r="95">
      <c r="A95" s="248"/>
      <c r="D95" s="251" t="s">
        <v>167</v>
      </c>
      <c r="E95" s="251">
        <v>2.0</v>
      </c>
      <c r="F95" s="252"/>
      <c r="G95" s="253"/>
      <c r="H95" s="254" t="s">
        <v>168</v>
      </c>
      <c r="I95" s="255" t="s">
        <v>164</v>
      </c>
      <c r="K95" s="247"/>
      <c r="L95" s="247"/>
    </row>
    <row r="96">
      <c r="A96" s="248"/>
      <c r="D96" s="357" t="s">
        <v>176</v>
      </c>
      <c r="E96" s="357">
        <v>4.0</v>
      </c>
      <c r="F96" s="253"/>
      <c r="G96" s="253"/>
      <c r="H96" s="254" t="s">
        <v>290</v>
      </c>
      <c r="I96" s="255" t="s">
        <v>177</v>
      </c>
      <c r="K96" s="247"/>
      <c r="L96" s="247"/>
    </row>
    <row r="97">
      <c r="A97" s="259"/>
      <c r="B97" s="260"/>
      <c r="C97" s="260"/>
      <c r="D97" s="277" t="s">
        <v>132</v>
      </c>
      <c r="E97" s="277">
        <v>1.0</v>
      </c>
      <c r="F97" s="315"/>
      <c r="G97" s="316"/>
      <c r="H97" s="280" t="s">
        <v>133</v>
      </c>
      <c r="I97" s="281" t="s">
        <v>106</v>
      </c>
      <c r="K97" s="247"/>
      <c r="L97" s="247"/>
    </row>
    <row r="98">
      <c r="A98" s="261" t="s">
        <v>337</v>
      </c>
      <c r="B98" s="367" t="s">
        <v>338</v>
      </c>
      <c r="C98" s="263">
        <f>sum(E98:E103)</f>
        <v>11</v>
      </c>
      <c r="D98" s="264" t="s">
        <v>65</v>
      </c>
      <c r="E98" s="264">
        <v>3.0</v>
      </c>
      <c r="F98" s="283"/>
      <c r="G98" s="284"/>
      <c r="H98" s="285" t="s">
        <v>284</v>
      </c>
      <c r="I98" s="286" t="s">
        <v>66</v>
      </c>
      <c r="K98" s="247"/>
      <c r="L98" s="247"/>
    </row>
    <row r="99">
      <c r="A99" s="248"/>
      <c r="D99" s="249" t="s">
        <v>180</v>
      </c>
      <c r="E99" s="244">
        <v>3.0</v>
      </c>
      <c r="F99" s="172"/>
      <c r="G99" s="173"/>
      <c r="H99" s="250" t="s">
        <v>181</v>
      </c>
      <c r="I99" s="246" t="s">
        <v>177</v>
      </c>
      <c r="K99" s="247"/>
      <c r="L99" s="247"/>
    </row>
    <row r="100">
      <c r="A100" s="248"/>
      <c r="D100" s="251" t="s">
        <v>190</v>
      </c>
      <c r="E100" s="251">
        <v>1.0</v>
      </c>
      <c r="F100" s="252"/>
      <c r="G100" s="253"/>
      <c r="H100" s="254" t="s">
        <v>191</v>
      </c>
      <c r="I100" s="368" t="s">
        <v>187</v>
      </c>
      <c r="K100" s="247"/>
      <c r="L100" s="247"/>
    </row>
    <row r="101">
      <c r="A101" s="248"/>
      <c r="D101" s="251" t="s">
        <v>121</v>
      </c>
      <c r="E101" s="251">
        <v>1.0</v>
      </c>
      <c r="F101" s="252"/>
      <c r="G101" s="253"/>
      <c r="H101" s="369" t="s">
        <v>122</v>
      </c>
      <c r="I101" s="368" t="s">
        <v>106</v>
      </c>
      <c r="K101" s="247"/>
      <c r="L101" s="247"/>
    </row>
    <row r="102">
      <c r="A102" s="248"/>
      <c r="D102" s="251" t="s">
        <v>339</v>
      </c>
      <c r="E102" s="251">
        <v>2.0</v>
      </c>
      <c r="F102" s="252"/>
      <c r="G102" s="253"/>
      <c r="H102" s="254" t="s">
        <v>332</v>
      </c>
      <c r="I102" s="255" t="s">
        <v>8</v>
      </c>
      <c r="K102" s="247"/>
      <c r="L102" s="247"/>
    </row>
    <row r="103">
      <c r="A103" s="259"/>
      <c r="B103" s="260"/>
      <c r="C103" s="260"/>
      <c r="D103" s="277" t="s">
        <v>118</v>
      </c>
      <c r="E103" s="277">
        <v>1.0</v>
      </c>
      <c r="F103" s="316"/>
      <c r="G103" s="316"/>
      <c r="H103" s="280" t="s">
        <v>323</v>
      </c>
      <c r="I103" s="281" t="s">
        <v>106</v>
      </c>
      <c r="K103" s="247"/>
      <c r="L103" s="247"/>
    </row>
    <row r="104">
      <c r="A104" s="328" t="s">
        <v>340</v>
      </c>
      <c r="B104" s="341" t="s">
        <v>341</v>
      </c>
      <c r="C104" s="263">
        <f>sum(E104:E109)</f>
        <v>11</v>
      </c>
      <c r="D104" s="264" t="s">
        <v>23</v>
      </c>
      <c r="E104" s="264">
        <v>2.0</v>
      </c>
      <c r="F104" s="370"/>
      <c r="G104" s="371"/>
      <c r="H104" s="266" t="s">
        <v>308</v>
      </c>
      <c r="I104" s="286" t="s">
        <v>24</v>
      </c>
      <c r="K104" s="247"/>
      <c r="L104" s="247"/>
    </row>
    <row r="105">
      <c r="A105" s="248"/>
      <c r="D105" s="334" t="s">
        <v>40</v>
      </c>
      <c r="E105" s="335">
        <v>1.0</v>
      </c>
      <c r="F105" s="39"/>
      <c r="G105" s="41"/>
      <c r="H105" s="41" t="s">
        <v>41</v>
      </c>
      <c r="I105" s="336" t="s">
        <v>31</v>
      </c>
      <c r="K105" s="247"/>
      <c r="L105" s="247"/>
    </row>
    <row r="106">
      <c r="A106" s="248"/>
      <c r="D106" s="251" t="s">
        <v>163</v>
      </c>
      <c r="E106" s="251">
        <v>2.0</v>
      </c>
      <c r="F106" s="256"/>
      <c r="G106" s="258"/>
      <c r="H106" s="254" t="s">
        <v>165</v>
      </c>
      <c r="I106" s="255" t="s">
        <v>164</v>
      </c>
      <c r="K106" s="247"/>
      <c r="L106" s="247"/>
    </row>
    <row r="107">
      <c r="A107" s="248"/>
      <c r="D107" s="251" t="s">
        <v>50</v>
      </c>
      <c r="E107" s="251">
        <v>2.0</v>
      </c>
      <c r="F107" s="252"/>
      <c r="G107" s="253"/>
      <c r="H107" s="254" t="s">
        <v>51</v>
      </c>
      <c r="I107" s="255" t="s">
        <v>44</v>
      </c>
      <c r="K107" s="247"/>
      <c r="L107" s="247"/>
    </row>
    <row r="108">
      <c r="A108" s="248"/>
      <c r="D108" s="251" t="s">
        <v>163</v>
      </c>
      <c r="E108" s="251">
        <v>2.0</v>
      </c>
      <c r="F108" s="256"/>
      <c r="G108" s="253"/>
      <c r="H108" s="254" t="s">
        <v>165</v>
      </c>
      <c r="I108" s="255" t="s">
        <v>164</v>
      </c>
      <c r="K108" s="247"/>
      <c r="L108" s="247"/>
    </row>
    <row r="109">
      <c r="A109" s="259"/>
      <c r="B109" s="260"/>
      <c r="C109" s="260"/>
      <c r="D109" s="299" t="s">
        <v>98</v>
      </c>
      <c r="E109" s="299">
        <v>2.0</v>
      </c>
      <c r="F109" s="372"/>
      <c r="G109" s="372"/>
      <c r="H109" s="373" t="s">
        <v>100</v>
      </c>
      <c r="I109" s="281" t="s">
        <v>99</v>
      </c>
      <c r="K109" s="247"/>
      <c r="L109" s="247"/>
    </row>
    <row r="110">
      <c r="A110" s="328" t="s">
        <v>342</v>
      </c>
      <c r="B110" s="262" t="s">
        <v>343</v>
      </c>
      <c r="C110" s="263">
        <f>sum(E110:E113)</f>
        <v>11</v>
      </c>
      <c r="D110" s="264" t="s">
        <v>163</v>
      </c>
      <c r="E110" s="264">
        <v>2.0</v>
      </c>
      <c r="F110" s="374"/>
      <c r="G110" s="305"/>
      <c r="H110" s="285" t="s">
        <v>165</v>
      </c>
      <c r="I110" s="286" t="s">
        <v>164</v>
      </c>
      <c r="K110" s="247"/>
      <c r="L110" s="247"/>
    </row>
    <row r="111">
      <c r="A111" s="248"/>
      <c r="D111" s="251" t="s">
        <v>344</v>
      </c>
      <c r="E111" s="251">
        <v>3.0</v>
      </c>
      <c r="F111" s="306"/>
      <c r="G111" s="306"/>
      <c r="H111" s="293" t="s">
        <v>345</v>
      </c>
      <c r="I111" s="255" t="s">
        <v>106</v>
      </c>
      <c r="K111" s="247"/>
      <c r="L111" s="247"/>
    </row>
    <row r="112">
      <c r="A112" s="248"/>
      <c r="D112" s="251" t="s">
        <v>144</v>
      </c>
      <c r="E112" s="251">
        <v>5.0</v>
      </c>
      <c r="F112" s="306"/>
      <c r="G112" s="306"/>
      <c r="H112" s="293" t="s">
        <v>146</v>
      </c>
      <c r="I112" s="287" t="s">
        <v>145</v>
      </c>
      <c r="K112" s="247"/>
      <c r="L112" s="247"/>
    </row>
    <row r="113">
      <c r="A113" s="259"/>
      <c r="B113" s="260"/>
      <c r="C113" s="260"/>
      <c r="D113" s="277" t="s">
        <v>285</v>
      </c>
      <c r="E113" s="277">
        <v>1.0</v>
      </c>
      <c r="F113" s="278"/>
      <c r="G113" s="279"/>
      <c r="H113" s="280" t="s">
        <v>116</v>
      </c>
      <c r="I113" s="281" t="s">
        <v>106</v>
      </c>
      <c r="K113" s="247"/>
      <c r="L113" s="247"/>
    </row>
    <row r="114">
      <c r="A114" s="375" t="s">
        <v>346</v>
      </c>
      <c r="B114" s="376" t="s">
        <v>347</v>
      </c>
      <c r="C114" s="263">
        <f>sum(E114:AC120)</f>
        <v>11</v>
      </c>
      <c r="D114" s="264" t="s">
        <v>160</v>
      </c>
      <c r="E114" s="264">
        <v>1.0</v>
      </c>
      <c r="F114" s="265"/>
      <c r="G114" s="265"/>
      <c r="H114" s="285" t="s">
        <v>161</v>
      </c>
      <c r="I114" s="267" t="s">
        <v>145</v>
      </c>
      <c r="K114" s="247"/>
      <c r="L114" s="247"/>
    </row>
    <row r="115">
      <c r="A115" s="248"/>
      <c r="D115" s="295" t="s">
        <v>71</v>
      </c>
      <c r="E115" s="295">
        <v>2.0</v>
      </c>
      <c r="F115" s="70"/>
      <c r="G115" s="72"/>
      <c r="H115" s="296" t="s">
        <v>72</v>
      </c>
      <c r="I115" s="297" t="s">
        <v>66</v>
      </c>
      <c r="K115" s="247"/>
      <c r="L115" s="247"/>
    </row>
    <row r="116">
      <c r="A116" s="248"/>
      <c r="D116" s="321" t="s">
        <v>102</v>
      </c>
      <c r="E116" s="322">
        <v>2.0</v>
      </c>
      <c r="F116" s="323"/>
      <c r="G116" s="324"/>
      <c r="H116" s="324" t="s">
        <v>103</v>
      </c>
      <c r="I116" s="325" t="s">
        <v>99</v>
      </c>
      <c r="K116" s="247"/>
      <c r="L116" s="247"/>
    </row>
    <row r="117">
      <c r="A117" s="248"/>
      <c r="D117" s="251" t="s">
        <v>186</v>
      </c>
      <c r="E117" s="377">
        <v>1.0</v>
      </c>
      <c r="F117" s="3"/>
      <c r="G117" s="378"/>
      <c r="H117" s="379" t="s">
        <v>188</v>
      </c>
      <c r="I117" s="276" t="s">
        <v>187</v>
      </c>
      <c r="K117" s="247"/>
      <c r="L117" s="247"/>
    </row>
    <row r="118">
      <c r="A118" s="248"/>
      <c r="D118" s="380" t="s">
        <v>53</v>
      </c>
      <c r="E118" s="380">
        <v>2.0</v>
      </c>
      <c r="F118" s="381"/>
      <c r="G118" s="382"/>
      <c r="H118" s="383" t="s">
        <v>54</v>
      </c>
      <c r="I118" s="384" t="s">
        <v>44</v>
      </c>
      <c r="K118" s="247"/>
      <c r="L118" s="247"/>
    </row>
    <row r="119">
      <c r="A119" s="248"/>
      <c r="D119" s="385" t="s">
        <v>285</v>
      </c>
      <c r="E119" s="385">
        <v>1.0</v>
      </c>
      <c r="F119" s="386"/>
      <c r="G119" s="387"/>
      <c r="H119" s="388" t="s">
        <v>116</v>
      </c>
      <c r="I119" s="389" t="s">
        <v>106</v>
      </c>
      <c r="K119" s="247"/>
      <c r="L119" s="247"/>
    </row>
    <row r="120">
      <c r="A120" s="259"/>
      <c r="B120" s="260"/>
      <c r="C120" s="260"/>
      <c r="D120" s="277" t="s">
        <v>167</v>
      </c>
      <c r="E120" s="277">
        <v>2.0</v>
      </c>
      <c r="F120" s="299"/>
      <c r="G120" s="299"/>
      <c r="H120" s="300" t="s">
        <v>168</v>
      </c>
      <c r="I120" s="281" t="s">
        <v>164</v>
      </c>
      <c r="K120" s="247"/>
      <c r="L120" s="247"/>
    </row>
    <row r="121">
      <c r="A121" s="328" t="s">
        <v>348</v>
      </c>
      <c r="B121" s="329" t="s">
        <v>273</v>
      </c>
      <c r="C121" s="282">
        <f>sum(E121:E125)</f>
        <v>10</v>
      </c>
      <c r="D121" s="251" t="s">
        <v>20</v>
      </c>
      <c r="E121" s="251">
        <v>2.0</v>
      </c>
      <c r="F121" s="252"/>
      <c r="G121" s="253"/>
      <c r="H121" s="254" t="s">
        <v>21</v>
      </c>
      <c r="I121" s="255" t="s">
        <v>8</v>
      </c>
      <c r="K121" s="247"/>
      <c r="L121" s="247"/>
    </row>
    <row r="122">
      <c r="A122" s="248"/>
      <c r="D122" s="357" t="s">
        <v>65</v>
      </c>
      <c r="E122" s="357">
        <v>3.0</v>
      </c>
      <c r="F122" s="252"/>
      <c r="G122" s="252"/>
      <c r="H122" s="294" t="s">
        <v>284</v>
      </c>
      <c r="I122" s="255" t="s">
        <v>66</v>
      </c>
      <c r="K122" s="247"/>
      <c r="L122" s="247"/>
    </row>
    <row r="123">
      <c r="A123" s="248"/>
      <c r="D123" s="251" t="s">
        <v>50</v>
      </c>
      <c r="E123" s="251">
        <v>2.0</v>
      </c>
      <c r="F123" s="252"/>
      <c r="G123" s="253"/>
      <c r="H123" s="254" t="s">
        <v>51</v>
      </c>
      <c r="I123" s="255" t="s">
        <v>44</v>
      </c>
      <c r="K123" s="247"/>
      <c r="L123" s="247"/>
    </row>
    <row r="124">
      <c r="A124" s="248"/>
      <c r="D124" s="251" t="s">
        <v>59</v>
      </c>
      <c r="E124" s="251">
        <v>1.0</v>
      </c>
      <c r="F124" s="251"/>
      <c r="G124" s="251"/>
      <c r="H124" s="293" t="s">
        <v>60</v>
      </c>
      <c r="I124" s="255" t="s">
        <v>44</v>
      </c>
      <c r="K124" s="247"/>
      <c r="L124" s="247"/>
    </row>
    <row r="125">
      <c r="A125" s="259"/>
      <c r="B125" s="260"/>
      <c r="C125" s="260"/>
      <c r="D125" s="251" t="s">
        <v>12</v>
      </c>
      <c r="E125" s="251">
        <v>2.0</v>
      </c>
      <c r="F125" s="364"/>
      <c r="G125" s="364"/>
      <c r="H125" s="293" t="s">
        <v>349</v>
      </c>
      <c r="I125" s="255" t="s">
        <v>8</v>
      </c>
      <c r="K125" s="247"/>
      <c r="L125" s="247"/>
    </row>
    <row r="126">
      <c r="A126" s="390" t="s">
        <v>350</v>
      </c>
      <c r="B126" s="391" t="s">
        <v>351</v>
      </c>
      <c r="C126" s="282">
        <f>sum(E126:E131)</f>
        <v>10</v>
      </c>
      <c r="D126" s="264" t="s">
        <v>80</v>
      </c>
      <c r="E126" s="264">
        <v>2.0</v>
      </c>
      <c r="F126" s="305"/>
      <c r="G126" s="305"/>
      <c r="H126" s="285" t="s">
        <v>81</v>
      </c>
      <c r="I126" s="286" t="s">
        <v>66</v>
      </c>
      <c r="J126" s="310"/>
      <c r="K126" s="247"/>
      <c r="L126" s="247"/>
    </row>
    <row r="127">
      <c r="A127" s="248"/>
      <c r="D127" s="251" t="s">
        <v>56</v>
      </c>
      <c r="E127" s="251">
        <v>1.0</v>
      </c>
      <c r="F127" s="252"/>
      <c r="G127" s="253"/>
      <c r="H127" s="254" t="s">
        <v>57</v>
      </c>
      <c r="I127" s="255" t="s">
        <v>44</v>
      </c>
      <c r="K127" s="247"/>
      <c r="L127" s="247"/>
    </row>
    <row r="128">
      <c r="A128" s="248"/>
      <c r="D128" s="306" t="s">
        <v>157</v>
      </c>
      <c r="E128" s="306">
        <v>2.0</v>
      </c>
      <c r="F128" s="274"/>
      <c r="G128" s="274"/>
      <c r="H128" s="275" t="s">
        <v>158</v>
      </c>
      <c r="I128" s="287" t="s">
        <v>145</v>
      </c>
      <c r="K128" s="247"/>
      <c r="L128" s="247"/>
    </row>
    <row r="129">
      <c r="A129" s="248"/>
      <c r="D129" s="251" t="s">
        <v>163</v>
      </c>
      <c r="E129" s="251">
        <v>2.0</v>
      </c>
      <c r="F129" s="256"/>
      <c r="G129" s="253"/>
      <c r="H129" s="254" t="s">
        <v>165</v>
      </c>
      <c r="I129" s="255" t="s">
        <v>164</v>
      </c>
      <c r="K129" s="247"/>
      <c r="L129" s="247"/>
    </row>
    <row r="130">
      <c r="A130" s="248"/>
      <c r="D130" s="353" t="s">
        <v>130</v>
      </c>
      <c r="E130" s="353">
        <v>1.0</v>
      </c>
      <c r="F130" s="105"/>
      <c r="G130" s="106"/>
      <c r="H130" s="354" t="s">
        <v>131</v>
      </c>
      <c r="I130" s="355" t="s">
        <v>106</v>
      </c>
      <c r="K130" s="247"/>
      <c r="L130" s="247"/>
    </row>
    <row r="131">
      <c r="A131" s="259"/>
      <c r="B131" s="260"/>
      <c r="C131" s="260"/>
      <c r="D131" s="277" t="s">
        <v>18</v>
      </c>
      <c r="E131" s="277">
        <v>2.0</v>
      </c>
      <c r="F131" s="315"/>
      <c r="G131" s="316"/>
      <c r="H131" s="392" t="s">
        <v>322</v>
      </c>
      <c r="I131" s="281" t="s">
        <v>8</v>
      </c>
      <c r="K131" s="247"/>
      <c r="L131" s="247"/>
    </row>
    <row r="132">
      <c r="A132" s="261" t="s">
        <v>352</v>
      </c>
      <c r="B132" s="262" t="s">
        <v>353</v>
      </c>
      <c r="C132" s="282">
        <f>sum(E132:E136)</f>
        <v>10</v>
      </c>
      <c r="D132" s="264" t="s">
        <v>56</v>
      </c>
      <c r="E132" s="264">
        <v>1.0</v>
      </c>
      <c r="F132" s="330"/>
      <c r="G132" s="305"/>
      <c r="H132" s="285" t="s">
        <v>57</v>
      </c>
      <c r="I132" s="286" t="s">
        <v>44</v>
      </c>
      <c r="K132" s="247"/>
      <c r="L132" s="247"/>
    </row>
    <row r="133">
      <c r="A133" s="248"/>
      <c r="D133" s="306" t="s">
        <v>98</v>
      </c>
      <c r="E133" s="306">
        <v>2.0</v>
      </c>
      <c r="F133" s="274"/>
      <c r="G133" s="274"/>
      <c r="H133" s="275" t="s">
        <v>100</v>
      </c>
      <c r="I133" s="255" t="s">
        <v>99</v>
      </c>
      <c r="K133" s="247"/>
      <c r="L133" s="247"/>
    </row>
    <row r="134">
      <c r="A134" s="248"/>
      <c r="D134" s="251" t="s">
        <v>144</v>
      </c>
      <c r="E134" s="251">
        <v>5.0</v>
      </c>
      <c r="F134" s="306"/>
      <c r="G134" s="306"/>
      <c r="H134" s="293" t="s">
        <v>146</v>
      </c>
      <c r="I134" s="287" t="s">
        <v>145</v>
      </c>
      <c r="K134" s="247"/>
      <c r="L134" s="247"/>
    </row>
    <row r="135">
      <c r="A135" s="248"/>
      <c r="D135" s="353" t="s">
        <v>130</v>
      </c>
      <c r="E135" s="353">
        <v>1.0</v>
      </c>
      <c r="F135" s="105"/>
      <c r="G135" s="106"/>
      <c r="H135" s="354" t="s">
        <v>131</v>
      </c>
      <c r="I135" s="355" t="s">
        <v>106</v>
      </c>
      <c r="K135" s="247"/>
      <c r="L135" s="247"/>
    </row>
    <row r="136">
      <c r="A136" s="259"/>
      <c r="B136" s="260"/>
      <c r="C136" s="260"/>
      <c r="D136" s="277" t="s">
        <v>118</v>
      </c>
      <c r="E136" s="277">
        <v>1.0</v>
      </c>
      <c r="F136" s="316"/>
      <c r="G136" s="316"/>
      <c r="H136" s="280" t="s">
        <v>323</v>
      </c>
      <c r="I136" s="281" t="s">
        <v>106</v>
      </c>
      <c r="K136" s="247"/>
      <c r="L136" s="247"/>
    </row>
    <row r="137">
      <c r="A137" s="261" t="s">
        <v>354</v>
      </c>
      <c r="B137" s="262" t="s">
        <v>355</v>
      </c>
      <c r="C137" s="282">
        <f>sum(E137:E143)</f>
        <v>10</v>
      </c>
      <c r="D137" s="264" t="s">
        <v>59</v>
      </c>
      <c r="E137" s="264">
        <v>1.0</v>
      </c>
      <c r="F137" s="264"/>
      <c r="G137" s="264"/>
      <c r="H137" s="266" t="s">
        <v>60</v>
      </c>
      <c r="I137" s="286" t="s">
        <v>44</v>
      </c>
      <c r="K137" s="247"/>
      <c r="L137" s="247"/>
    </row>
    <row r="138">
      <c r="A138" s="248"/>
      <c r="D138" s="251" t="s">
        <v>356</v>
      </c>
      <c r="E138" s="251">
        <v>3.0</v>
      </c>
      <c r="F138" s="257"/>
      <c r="G138" s="258"/>
      <c r="H138" s="254" t="s">
        <v>284</v>
      </c>
      <c r="I138" s="255" t="s">
        <v>66</v>
      </c>
      <c r="K138" s="247"/>
      <c r="L138" s="247"/>
    </row>
    <row r="139">
      <c r="A139" s="248"/>
      <c r="D139" s="306" t="s">
        <v>98</v>
      </c>
      <c r="E139" s="306">
        <v>2.0</v>
      </c>
      <c r="F139" s="274"/>
      <c r="G139" s="274"/>
      <c r="H139" s="275" t="s">
        <v>100</v>
      </c>
      <c r="I139" s="255" t="s">
        <v>99</v>
      </c>
      <c r="K139" s="247"/>
      <c r="L139" s="247"/>
    </row>
    <row r="140">
      <c r="A140" s="248"/>
      <c r="D140" s="357" t="s">
        <v>357</v>
      </c>
      <c r="E140" s="357">
        <v>0.0</v>
      </c>
      <c r="F140" s="252"/>
      <c r="G140" s="253"/>
      <c r="H140" s="393" t="s">
        <v>358</v>
      </c>
      <c r="I140" s="287" t="s">
        <v>145</v>
      </c>
      <c r="K140" s="247"/>
      <c r="L140" s="247"/>
    </row>
    <row r="141">
      <c r="A141" s="248"/>
      <c r="D141" s="249" t="s">
        <v>183</v>
      </c>
      <c r="E141" s="244">
        <v>2.0</v>
      </c>
      <c r="F141" s="172"/>
      <c r="G141" s="173"/>
      <c r="H141" s="173" t="s">
        <v>184</v>
      </c>
      <c r="I141" s="246" t="s">
        <v>177</v>
      </c>
      <c r="K141" s="247"/>
      <c r="L141" s="247"/>
    </row>
    <row r="142">
      <c r="A142" s="248"/>
      <c r="D142" s="357" t="s">
        <v>359</v>
      </c>
      <c r="E142" s="357">
        <v>0.0</v>
      </c>
      <c r="F142" s="252"/>
      <c r="G142" s="253"/>
      <c r="H142" s="254" t="s">
        <v>360</v>
      </c>
      <c r="I142" s="255" t="s">
        <v>106</v>
      </c>
      <c r="K142" s="247"/>
      <c r="L142" s="247"/>
    </row>
    <row r="143">
      <c r="A143" s="259"/>
      <c r="B143" s="260"/>
      <c r="C143" s="260"/>
      <c r="D143" s="277" t="s">
        <v>12</v>
      </c>
      <c r="E143" s="277">
        <v>2.0</v>
      </c>
      <c r="F143" s="308"/>
      <c r="G143" s="308"/>
      <c r="H143" s="300" t="s">
        <v>349</v>
      </c>
      <c r="I143" s="281" t="s">
        <v>8</v>
      </c>
      <c r="K143" s="247"/>
      <c r="L143" s="247"/>
    </row>
    <row r="144">
      <c r="A144" s="302" t="s">
        <v>361</v>
      </c>
      <c r="B144" s="262" t="s">
        <v>362</v>
      </c>
      <c r="C144" s="282">
        <f>sum(E144:E148)</f>
        <v>10</v>
      </c>
      <c r="D144" s="264" t="s">
        <v>65</v>
      </c>
      <c r="E144" s="264">
        <v>3.0</v>
      </c>
      <c r="F144" s="283"/>
      <c r="G144" s="284"/>
      <c r="H144" s="285" t="s">
        <v>284</v>
      </c>
      <c r="I144" s="286" t="s">
        <v>66</v>
      </c>
      <c r="K144" s="247"/>
      <c r="L144" s="247"/>
    </row>
    <row r="145">
      <c r="A145" s="248"/>
      <c r="D145" s="306" t="s">
        <v>98</v>
      </c>
      <c r="E145" s="306">
        <v>2.0</v>
      </c>
      <c r="F145" s="274"/>
      <c r="G145" s="274"/>
      <c r="H145" s="275" t="s">
        <v>100</v>
      </c>
      <c r="I145" s="255" t="s">
        <v>99</v>
      </c>
      <c r="K145" s="247"/>
      <c r="L145" s="247"/>
    </row>
    <row r="146">
      <c r="A146" s="248"/>
      <c r="D146" s="249" t="s">
        <v>180</v>
      </c>
      <c r="E146" s="244">
        <v>3.0</v>
      </c>
      <c r="F146" s="172"/>
      <c r="G146" s="173"/>
      <c r="H146" s="250" t="s">
        <v>181</v>
      </c>
      <c r="I146" s="246" t="s">
        <v>177</v>
      </c>
      <c r="K146" s="247"/>
      <c r="L146" s="247"/>
    </row>
    <row r="147">
      <c r="A147" s="248"/>
      <c r="D147" s="251" t="s">
        <v>186</v>
      </c>
      <c r="E147" s="377">
        <v>1.0</v>
      </c>
      <c r="F147" s="3"/>
      <c r="G147" s="378"/>
      <c r="H147" s="379" t="s">
        <v>188</v>
      </c>
      <c r="I147" s="276" t="s">
        <v>187</v>
      </c>
      <c r="K147" s="247"/>
      <c r="L147" s="247"/>
    </row>
    <row r="148">
      <c r="A148" s="259"/>
      <c r="B148" s="260"/>
      <c r="C148" s="260"/>
      <c r="D148" s="394" t="s">
        <v>121</v>
      </c>
      <c r="E148" s="394">
        <v>1.0</v>
      </c>
      <c r="F148" s="395"/>
      <c r="G148" s="372"/>
      <c r="H148" s="373" t="s">
        <v>122</v>
      </c>
      <c r="I148" s="396" t="s">
        <v>106</v>
      </c>
      <c r="K148" s="247"/>
      <c r="L148" s="247"/>
    </row>
    <row r="149">
      <c r="A149" s="261" t="s">
        <v>363</v>
      </c>
      <c r="B149" s="262" t="s">
        <v>364</v>
      </c>
      <c r="C149" s="282">
        <f>sum(E149:E154)</f>
        <v>10</v>
      </c>
      <c r="D149" s="264" t="s">
        <v>331</v>
      </c>
      <c r="E149" s="264">
        <v>2.0</v>
      </c>
      <c r="F149" s="330"/>
      <c r="G149" s="305"/>
      <c r="H149" s="285" t="s">
        <v>332</v>
      </c>
      <c r="I149" s="286" t="s">
        <v>8</v>
      </c>
      <c r="K149" s="247"/>
      <c r="L149" s="247"/>
    </row>
    <row r="150">
      <c r="A150" s="248"/>
      <c r="D150" s="288" t="s">
        <v>190</v>
      </c>
      <c r="E150" s="289">
        <v>1.0</v>
      </c>
      <c r="F150" s="12"/>
      <c r="G150" s="290"/>
      <c r="H150" s="291" t="s">
        <v>191</v>
      </c>
      <c r="I150" s="292" t="s">
        <v>187</v>
      </c>
      <c r="K150" s="247"/>
      <c r="L150" s="247"/>
    </row>
    <row r="151">
      <c r="A151" s="248"/>
      <c r="D151" s="295" t="s">
        <v>74</v>
      </c>
      <c r="E151" s="295">
        <v>2.0</v>
      </c>
      <c r="F151" s="70"/>
      <c r="G151" s="72"/>
      <c r="H151" s="72" t="s">
        <v>75</v>
      </c>
      <c r="I151" s="397" t="s">
        <v>66</v>
      </c>
      <c r="J151" s="310"/>
      <c r="K151" s="247"/>
      <c r="L151" s="247"/>
    </row>
    <row r="152">
      <c r="A152" s="248"/>
      <c r="D152" s="353" t="s">
        <v>130</v>
      </c>
      <c r="E152" s="353">
        <v>1.0</v>
      </c>
      <c r="F152" s="105"/>
      <c r="G152" s="106"/>
      <c r="H152" s="354" t="s">
        <v>131</v>
      </c>
      <c r="I152" s="355" t="s">
        <v>106</v>
      </c>
      <c r="K152" s="247"/>
      <c r="L152" s="247"/>
    </row>
    <row r="153">
      <c r="A153" s="248"/>
      <c r="D153" s="251" t="s">
        <v>135</v>
      </c>
      <c r="E153" s="251">
        <v>1.0</v>
      </c>
      <c r="F153" s="252"/>
      <c r="G153" s="253"/>
      <c r="H153" s="254" t="s">
        <v>136</v>
      </c>
      <c r="I153" s="255" t="s">
        <v>106</v>
      </c>
      <c r="K153" s="247"/>
      <c r="L153" s="247"/>
    </row>
    <row r="154">
      <c r="A154" s="259"/>
      <c r="B154" s="260"/>
      <c r="C154" s="260"/>
      <c r="D154" s="314" t="s">
        <v>365</v>
      </c>
      <c r="E154" s="314">
        <v>3.0</v>
      </c>
      <c r="F154" s="315"/>
      <c r="G154" s="316"/>
      <c r="H154" s="280" t="s">
        <v>366</v>
      </c>
      <c r="I154" s="396" t="s">
        <v>145</v>
      </c>
      <c r="K154" s="247"/>
      <c r="L154" s="247"/>
    </row>
    <row r="155" ht="24.75" customHeight="1">
      <c r="A155" s="261" t="s">
        <v>367</v>
      </c>
      <c r="B155" s="262" t="s">
        <v>368</v>
      </c>
      <c r="C155" s="282">
        <f>sum(E155:E159)</f>
        <v>10</v>
      </c>
      <c r="D155" s="264" t="s">
        <v>59</v>
      </c>
      <c r="E155" s="264">
        <v>1.0</v>
      </c>
      <c r="F155" s="398" t="s">
        <v>369</v>
      </c>
      <c r="G155" s="399" t="s">
        <v>370</v>
      </c>
      <c r="H155" s="285" t="s">
        <v>60</v>
      </c>
      <c r="I155" s="255" t="s">
        <v>44</v>
      </c>
      <c r="K155" s="247"/>
      <c r="L155" s="247"/>
    </row>
    <row r="156">
      <c r="A156" s="248"/>
      <c r="D156" s="251" t="s">
        <v>127</v>
      </c>
      <c r="E156" s="251">
        <v>1.0</v>
      </c>
      <c r="F156" s="400" t="s">
        <v>369</v>
      </c>
      <c r="G156" s="401" t="s">
        <v>370</v>
      </c>
      <c r="H156" s="254" t="s">
        <v>128</v>
      </c>
      <c r="I156" s="255" t="s">
        <v>106</v>
      </c>
      <c r="J156" s="3" t="s">
        <v>371</v>
      </c>
      <c r="K156" s="247"/>
      <c r="L156" s="247"/>
    </row>
    <row r="157">
      <c r="A157" s="248"/>
      <c r="D157" s="251" t="s">
        <v>163</v>
      </c>
      <c r="E157" s="251">
        <v>2.0</v>
      </c>
      <c r="F157" s="402" t="s">
        <v>372</v>
      </c>
      <c r="G157" s="401" t="s">
        <v>373</v>
      </c>
      <c r="H157" s="254" t="s">
        <v>165</v>
      </c>
      <c r="I157" s="255" t="s">
        <v>164</v>
      </c>
      <c r="K157" s="247"/>
      <c r="L157" s="247"/>
    </row>
    <row r="158">
      <c r="A158" s="248"/>
      <c r="D158" s="251" t="s">
        <v>374</v>
      </c>
      <c r="E158" s="251">
        <v>4.0</v>
      </c>
      <c r="F158" s="403" t="s">
        <v>375</v>
      </c>
      <c r="G158" s="401" t="s">
        <v>376</v>
      </c>
      <c r="H158" s="254" t="s">
        <v>377</v>
      </c>
      <c r="I158" s="287" t="s">
        <v>145</v>
      </c>
      <c r="K158" s="247"/>
      <c r="L158" s="247"/>
    </row>
    <row r="159">
      <c r="A159" s="259"/>
      <c r="B159" s="260"/>
      <c r="C159" s="260"/>
      <c r="D159" s="277" t="s">
        <v>23</v>
      </c>
      <c r="E159" s="277">
        <v>2.0</v>
      </c>
      <c r="F159" s="404" t="s">
        <v>378</v>
      </c>
      <c r="G159" s="405" t="s">
        <v>370</v>
      </c>
      <c r="H159" s="280" t="s">
        <v>308</v>
      </c>
      <c r="I159" s="255" t="s">
        <v>24</v>
      </c>
      <c r="K159" s="247"/>
      <c r="L159" s="247"/>
    </row>
    <row r="160">
      <c r="A160" s="261" t="s">
        <v>379</v>
      </c>
      <c r="B160" s="262" t="s">
        <v>380</v>
      </c>
      <c r="C160" s="282">
        <f>sum(E160:E165)</f>
        <v>10</v>
      </c>
      <c r="D160" s="264" t="s">
        <v>23</v>
      </c>
      <c r="E160" s="264">
        <v>2.0</v>
      </c>
      <c r="F160" s="370"/>
      <c r="G160" s="371"/>
      <c r="H160" s="266" t="s">
        <v>308</v>
      </c>
      <c r="I160" s="286" t="s">
        <v>24</v>
      </c>
      <c r="K160" s="247"/>
      <c r="L160" s="247"/>
    </row>
    <row r="161">
      <c r="A161" s="248"/>
      <c r="D161" s="306" t="s">
        <v>98</v>
      </c>
      <c r="E161" s="306">
        <v>2.0</v>
      </c>
      <c r="F161" s="274"/>
      <c r="G161" s="274"/>
      <c r="H161" s="275" t="s">
        <v>100</v>
      </c>
      <c r="I161" s="255" t="s">
        <v>99</v>
      </c>
      <c r="K161" s="247"/>
      <c r="L161" s="247"/>
    </row>
    <row r="162">
      <c r="A162" s="248"/>
      <c r="D162" s="251" t="s">
        <v>160</v>
      </c>
      <c r="E162" s="251">
        <v>1.0</v>
      </c>
      <c r="F162" s="306"/>
      <c r="G162" s="306"/>
      <c r="H162" s="254" t="s">
        <v>161</v>
      </c>
      <c r="I162" s="287" t="s">
        <v>145</v>
      </c>
      <c r="K162" s="247"/>
      <c r="L162" s="247"/>
    </row>
    <row r="163">
      <c r="A163" s="248"/>
      <c r="D163" s="251" t="s">
        <v>163</v>
      </c>
      <c r="E163" s="251">
        <v>2.0</v>
      </c>
      <c r="F163" s="256"/>
      <c r="G163" s="253"/>
      <c r="H163" s="254" t="s">
        <v>165</v>
      </c>
      <c r="I163" s="255" t="s">
        <v>164</v>
      </c>
      <c r="K163" s="247"/>
      <c r="L163" s="247"/>
    </row>
    <row r="164">
      <c r="A164" s="248"/>
      <c r="D164" s="251" t="s">
        <v>135</v>
      </c>
      <c r="E164" s="251">
        <v>1.0</v>
      </c>
      <c r="F164" s="252"/>
      <c r="G164" s="253"/>
      <c r="H164" s="254" t="s">
        <v>136</v>
      </c>
      <c r="I164" s="255" t="s">
        <v>106</v>
      </c>
      <c r="K164" s="247"/>
      <c r="L164" s="247"/>
    </row>
    <row r="165">
      <c r="A165" s="259"/>
      <c r="B165" s="260"/>
      <c r="C165" s="260"/>
      <c r="D165" s="314" t="s">
        <v>381</v>
      </c>
      <c r="E165" s="314">
        <v>2.0</v>
      </c>
      <c r="F165" s="315"/>
      <c r="G165" s="316"/>
      <c r="H165" s="280" t="s">
        <v>382</v>
      </c>
      <c r="I165" s="281" t="s">
        <v>106</v>
      </c>
      <c r="K165" s="247"/>
      <c r="L165" s="247"/>
    </row>
    <row r="166">
      <c r="A166" s="261" t="s">
        <v>383</v>
      </c>
      <c r="B166" s="262" t="s">
        <v>384</v>
      </c>
      <c r="C166" s="282">
        <f>sum(E166:E170)</f>
        <v>10</v>
      </c>
      <c r="D166" s="264" t="s">
        <v>132</v>
      </c>
      <c r="E166" s="264">
        <v>1.0</v>
      </c>
      <c r="F166" s="406"/>
      <c r="G166" s="406"/>
      <c r="H166" s="266" t="s">
        <v>133</v>
      </c>
      <c r="I166" s="286" t="s">
        <v>106</v>
      </c>
      <c r="K166" s="247"/>
      <c r="L166" s="247"/>
    </row>
    <row r="167">
      <c r="A167" s="248"/>
      <c r="D167" s="251" t="s">
        <v>141</v>
      </c>
      <c r="E167" s="251">
        <v>1.0</v>
      </c>
      <c r="F167" s="364"/>
      <c r="G167" s="364"/>
      <c r="H167" s="293" t="s">
        <v>142</v>
      </c>
      <c r="I167" s="255" t="s">
        <v>106</v>
      </c>
      <c r="K167" s="247"/>
      <c r="L167" s="247"/>
    </row>
    <row r="168">
      <c r="A168" s="248"/>
      <c r="D168" s="251" t="s">
        <v>105</v>
      </c>
      <c r="E168" s="251">
        <v>2.0</v>
      </c>
      <c r="F168" s="364"/>
      <c r="G168" s="364"/>
      <c r="H168" s="293" t="s">
        <v>107</v>
      </c>
      <c r="I168" s="255" t="s">
        <v>106</v>
      </c>
      <c r="K168" s="247"/>
      <c r="L168" s="247"/>
    </row>
    <row r="169">
      <c r="A169" s="248"/>
      <c r="D169" s="251" t="s">
        <v>65</v>
      </c>
      <c r="E169" s="251">
        <v>3.0</v>
      </c>
      <c r="F169" s="257"/>
      <c r="G169" s="258"/>
      <c r="H169" s="254" t="s">
        <v>284</v>
      </c>
      <c r="I169" s="255" t="s">
        <v>66</v>
      </c>
      <c r="K169" s="247"/>
      <c r="L169" s="247"/>
    </row>
    <row r="170">
      <c r="A170" s="259"/>
      <c r="B170" s="260"/>
      <c r="C170" s="260"/>
      <c r="D170" s="277" t="s">
        <v>148</v>
      </c>
      <c r="E170" s="277">
        <v>3.0</v>
      </c>
      <c r="F170" s="299"/>
      <c r="G170" s="299"/>
      <c r="H170" s="300" t="s">
        <v>146</v>
      </c>
      <c r="I170" s="301" t="s">
        <v>145</v>
      </c>
      <c r="K170" s="247"/>
      <c r="L170" s="247"/>
    </row>
    <row r="171">
      <c r="A171" s="261" t="s">
        <v>385</v>
      </c>
      <c r="B171" s="262" t="s">
        <v>386</v>
      </c>
      <c r="C171" s="282">
        <f>sum(E171:E174)</f>
        <v>10</v>
      </c>
      <c r="D171" s="265" t="s">
        <v>98</v>
      </c>
      <c r="E171" s="265">
        <v>2.0</v>
      </c>
      <c r="F171" s="332"/>
      <c r="G171" s="332"/>
      <c r="H171" s="333" t="s">
        <v>100</v>
      </c>
      <c r="I171" s="286" t="s">
        <v>99</v>
      </c>
      <c r="K171" s="247"/>
      <c r="L171" s="247"/>
    </row>
    <row r="172">
      <c r="A172" s="248"/>
      <c r="D172" s="251" t="s">
        <v>148</v>
      </c>
      <c r="E172" s="251">
        <v>3.0</v>
      </c>
      <c r="F172" s="306"/>
      <c r="G172" s="306"/>
      <c r="H172" s="293" t="s">
        <v>146</v>
      </c>
      <c r="I172" s="287" t="s">
        <v>145</v>
      </c>
      <c r="K172" s="247"/>
      <c r="L172" s="247"/>
    </row>
    <row r="173">
      <c r="A173" s="248"/>
      <c r="D173" s="251" t="s">
        <v>18</v>
      </c>
      <c r="E173" s="251">
        <v>2.0</v>
      </c>
      <c r="F173" s="252"/>
      <c r="G173" s="253"/>
      <c r="H173" s="407" t="s">
        <v>322</v>
      </c>
      <c r="I173" s="255" t="s">
        <v>8</v>
      </c>
      <c r="K173" s="247"/>
      <c r="L173" s="247"/>
    </row>
    <row r="174">
      <c r="A174" s="259"/>
      <c r="B174" s="260"/>
      <c r="C174" s="260"/>
      <c r="D174" s="251" t="s">
        <v>65</v>
      </c>
      <c r="E174" s="277">
        <v>3.0</v>
      </c>
      <c r="F174" s="278"/>
      <c r="G174" s="279"/>
      <c r="H174" s="280" t="s">
        <v>284</v>
      </c>
      <c r="I174" s="281" t="s">
        <v>66</v>
      </c>
      <c r="K174" s="247"/>
      <c r="L174" s="247"/>
    </row>
    <row r="175">
      <c r="A175" s="261" t="s">
        <v>387</v>
      </c>
      <c r="B175" s="262" t="s">
        <v>388</v>
      </c>
      <c r="C175" s="263">
        <f>sum(E175:E180)</f>
        <v>10</v>
      </c>
      <c r="D175" s="264" t="s">
        <v>23</v>
      </c>
      <c r="E175" s="264">
        <v>2.0</v>
      </c>
      <c r="F175" s="374"/>
      <c r="G175" s="305"/>
      <c r="H175" s="285" t="s">
        <v>308</v>
      </c>
      <c r="I175" s="286" t="s">
        <v>24</v>
      </c>
      <c r="K175" s="247"/>
      <c r="L175" s="247"/>
    </row>
    <row r="176">
      <c r="A176" s="248"/>
      <c r="D176" s="251" t="s">
        <v>50</v>
      </c>
      <c r="E176" s="251">
        <v>2.0</v>
      </c>
      <c r="F176" s="252"/>
      <c r="G176" s="253"/>
      <c r="H176" s="254" t="s">
        <v>51</v>
      </c>
      <c r="I176" s="255" t="s">
        <v>44</v>
      </c>
      <c r="K176" s="247"/>
      <c r="L176" s="247"/>
    </row>
    <row r="177">
      <c r="A177" s="248"/>
      <c r="D177" s="295" t="s">
        <v>71</v>
      </c>
      <c r="E177" s="295">
        <v>2.0</v>
      </c>
      <c r="F177" s="70"/>
      <c r="G177" s="72"/>
      <c r="H177" s="296" t="s">
        <v>72</v>
      </c>
      <c r="I177" s="297" t="s">
        <v>66</v>
      </c>
      <c r="K177" s="247"/>
      <c r="L177" s="247"/>
    </row>
    <row r="178">
      <c r="A178" s="248"/>
      <c r="D178" s="251" t="s">
        <v>118</v>
      </c>
      <c r="E178" s="251">
        <v>1.0</v>
      </c>
      <c r="F178" s="253"/>
      <c r="G178" s="253"/>
      <c r="H178" s="254" t="s">
        <v>323</v>
      </c>
      <c r="I178" s="255" t="s">
        <v>106</v>
      </c>
      <c r="K178" s="247"/>
      <c r="L178" s="247"/>
    </row>
    <row r="179">
      <c r="A179" s="248"/>
      <c r="D179" s="251" t="s">
        <v>160</v>
      </c>
      <c r="E179" s="251">
        <v>1.0</v>
      </c>
      <c r="F179" s="306"/>
      <c r="G179" s="306"/>
      <c r="H179" s="254" t="s">
        <v>161</v>
      </c>
      <c r="I179" s="287" t="s">
        <v>145</v>
      </c>
      <c r="K179" s="247"/>
      <c r="L179" s="247"/>
    </row>
    <row r="180">
      <c r="A180" s="259"/>
      <c r="B180" s="260"/>
      <c r="C180" s="260"/>
      <c r="D180" s="277" t="s">
        <v>167</v>
      </c>
      <c r="E180" s="277">
        <v>2.0</v>
      </c>
      <c r="F180" s="299"/>
      <c r="G180" s="299"/>
      <c r="H180" s="300" t="s">
        <v>168</v>
      </c>
      <c r="I180" s="281" t="s">
        <v>164</v>
      </c>
      <c r="K180" s="247"/>
      <c r="L180" s="247"/>
    </row>
    <row r="181">
      <c r="A181" s="328" t="s">
        <v>389</v>
      </c>
      <c r="B181" s="341" t="s">
        <v>390</v>
      </c>
      <c r="C181" s="263">
        <f>sum(E181:E184)</f>
        <v>10</v>
      </c>
      <c r="D181" s="265" t="s">
        <v>98</v>
      </c>
      <c r="E181" s="265">
        <v>2.0</v>
      </c>
      <c r="F181" s="332"/>
      <c r="G181" s="332"/>
      <c r="H181" s="333" t="s">
        <v>100</v>
      </c>
      <c r="I181" s="286" t="s">
        <v>99</v>
      </c>
      <c r="K181" s="247"/>
      <c r="L181" s="247"/>
    </row>
    <row r="182">
      <c r="A182" s="248"/>
      <c r="D182" s="251" t="s">
        <v>144</v>
      </c>
      <c r="E182" s="251">
        <v>5.0</v>
      </c>
      <c r="F182" s="306"/>
      <c r="G182" s="306"/>
      <c r="H182" s="293" t="s">
        <v>146</v>
      </c>
      <c r="I182" s="287" t="s">
        <v>145</v>
      </c>
      <c r="K182" s="247"/>
      <c r="L182" s="247"/>
    </row>
    <row r="183">
      <c r="A183" s="248"/>
      <c r="D183" s="251" t="s">
        <v>163</v>
      </c>
      <c r="E183" s="251">
        <v>2.0</v>
      </c>
      <c r="F183" s="256"/>
      <c r="G183" s="253"/>
      <c r="H183" s="254" t="s">
        <v>165</v>
      </c>
      <c r="I183" s="255" t="s">
        <v>164</v>
      </c>
      <c r="K183" s="247"/>
      <c r="L183" s="247"/>
    </row>
    <row r="184">
      <c r="A184" s="259"/>
      <c r="B184" s="260"/>
      <c r="C184" s="260"/>
      <c r="D184" s="277" t="s">
        <v>132</v>
      </c>
      <c r="E184" s="277">
        <v>1.0</v>
      </c>
      <c r="F184" s="315"/>
      <c r="G184" s="316"/>
      <c r="H184" s="280" t="s">
        <v>133</v>
      </c>
      <c r="I184" s="281" t="s">
        <v>106</v>
      </c>
      <c r="K184" s="247"/>
      <c r="L184" s="247"/>
    </row>
    <row r="185">
      <c r="A185" s="261" t="s">
        <v>391</v>
      </c>
      <c r="B185" s="262" t="s">
        <v>392</v>
      </c>
      <c r="C185" s="263">
        <f>sum(E185:E190)</f>
        <v>10</v>
      </c>
      <c r="D185" s="264" t="s">
        <v>56</v>
      </c>
      <c r="E185" s="264">
        <v>1.0</v>
      </c>
      <c r="F185" s="330"/>
      <c r="G185" s="305"/>
      <c r="H185" s="285" t="s">
        <v>57</v>
      </c>
      <c r="I185" s="286" t="s">
        <v>44</v>
      </c>
      <c r="K185" s="247"/>
      <c r="L185" s="247"/>
    </row>
    <row r="186">
      <c r="A186" s="248"/>
      <c r="D186" s="251" t="s">
        <v>65</v>
      </c>
      <c r="E186" s="251">
        <v>3.0</v>
      </c>
      <c r="F186" s="257"/>
      <c r="G186" s="258"/>
      <c r="H186" s="254" t="s">
        <v>284</v>
      </c>
      <c r="I186" s="255" t="s">
        <v>66</v>
      </c>
      <c r="K186" s="247"/>
      <c r="L186" s="247"/>
    </row>
    <row r="187">
      <c r="A187" s="248"/>
      <c r="D187" s="306" t="s">
        <v>98</v>
      </c>
      <c r="E187" s="306">
        <v>2.0</v>
      </c>
      <c r="F187" s="274"/>
      <c r="G187" s="274"/>
      <c r="H187" s="275" t="s">
        <v>100</v>
      </c>
      <c r="I187" s="255" t="s">
        <v>99</v>
      </c>
      <c r="K187" s="247"/>
      <c r="L187" s="247"/>
    </row>
    <row r="188">
      <c r="A188" s="248"/>
      <c r="D188" s="251" t="s">
        <v>163</v>
      </c>
      <c r="E188" s="251">
        <v>2.0</v>
      </c>
      <c r="F188" s="256"/>
      <c r="G188" s="253"/>
      <c r="H188" s="254" t="s">
        <v>165</v>
      </c>
      <c r="I188" s="255" t="s">
        <v>164</v>
      </c>
      <c r="K188" s="247"/>
      <c r="L188" s="247"/>
    </row>
    <row r="189">
      <c r="A189" s="248"/>
      <c r="D189" s="253"/>
      <c r="E189" s="377">
        <v>1.0</v>
      </c>
      <c r="F189" s="3"/>
      <c r="G189" s="378"/>
      <c r="H189" s="379" t="s">
        <v>188</v>
      </c>
      <c r="I189" s="276" t="s">
        <v>187</v>
      </c>
      <c r="K189" s="247"/>
      <c r="L189" s="247"/>
    </row>
    <row r="190">
      <c r="A190" s="259"/>
      <c r="B190" s="260"/>
      <c r="C190" s="260"/>
      <c r="D190" s="394" t="s">
        <v>121</v>
      </c>
      <c r="E190" s="394">
        <v>1.0</v>
      </c>
      <c r="F190" s="395"/>
      <c r="G190" s="372"/>
      <c r="H190" s="373" t="s">
        <v>122</v>
      </c>
      <c r="I190" s="396" t="s">
        <v>106</v>
      </c>
      <c r="K190" s="247"/>
      <c r="L190" s="247"/>
    </row>
    <row r="191">
      <c r="A191" s="261" t="s">
        <v>393</v>
      </c>
      <c r="B191" s="303" t="s">
        <v>394</v>
      </c>
      <c r="C191" s="263">
        <f>sum(E191:E196)</f>
        <v>10</v>
      </c>
      <c r="D191" s="264" t="s">
        <v>12</v>
      </c>
      <c r="E191" s="264">
        <v>2.0</v>
      </c>
      <c r="F191" s="406"/>
      <c r="G191" s="406"/>
      <c r="H191" s="266" t="s">
        <v>349</v>
      </c>
      <c r="I191" s="286" t="s">
        <v>8</v>
      </c>
      <c r="K191" s="247"/>
      <c r="L191" s="247"/>
    </row>
    <row r="192">
      <c r="A192" s="248"/>
      <c r="D192" s="251" t="s">
        <v>50</v>
      </c>
      <c r="E192" s="251">
        <v>2.0</v>
      </c>
      <c r="F192" s="252"/>
      <c r="G192" s="253"/>
      <c r="H192" s="254" t="s">
        <v>51</v>
      </c>
      <c r="I192" s="255" t="s">
        <v>44</v>
      </c>
      <c r="K192" s="247"/>
      <c r="L192" s="247"/>
    </row>
    <row r="193">
      <c r="A193" s="248"/>
      <c r="D193" s="251" t="s">
        <v>118</v>
      </c>
      <c r="E193" s="251">
        <v>1.0</v>
      </c>
      <c r="F193" s="253"/>
      <c r="G193" s="253"/>
      <c r="H193" s="254" t="s">
        <v>323</v>
      </c>
      <c r="I193" s="255" t="s">
        <v>106</v>
      </c>
      <c r="K193" s="247"/>
      <c r="L193" s="247"/>
    </row>
    <row r="194">
      <c r="A194" s="248"/>
      <c r="D194" s="295" t="s">
        <v>71</v>
      </c>
      <c r="E194" s="295">
        <v>2.0</v>
      </c>
      <c r="F194" s="70"/>
      <c r="G194" s="72"/>
      <c r="H194" s="296" t="s">
        <v>72</v>
      </c>
      <c r="I194" s="297" t="s">
        <v>66</v>
      </c>
      <c r="K194" s="247"/>
      <c r="L194" s="247"/>
    </row>
    <row r="195">
      <c r="A195" s="248"/>
      <c r="D195" s="306" t="s">
        <v>62</v>
      </c>
      <c r="E195" s="306">
        <v>1.0</v>
      </c>
      <c r="F195" s="274"/>
      <c r="G195" s="274"/>
      <c r="H195" s="275" t="s">
        <v>63</v>
      </c>
      <c r="I195" s="255" t="s">
        <v>44</v>
      </c>
      <c r="K195" s="247"/>
      <c r="L195" s="247"/>
    </row>
    <row r="196">
      <c r="A196" s="259"/>
      <c r="B196" s="260"/>
      <c r="C196" s="260"/>
      <c r="D196" s="277" t="s">
        <v>23</v>
      </c>
      <c r="E196" s="277">
        <v>2.0</v>
      </c>
      <c r="F196" s="408"/>
      <c r="G196" s="409"/>
      <c r="H196" s="300" t="s">
        <v>308</v>
      </c>
      <c r="I196" s="281" t="s">
        <v>24</v>
      </c>
      <c r="K196" s="247"/>
      <c r="L196" s="247"/>
    </row>
    <row r="197">
      <c r="A197" s="261" t="s">
        <v>395</v>
      </c>
      <c r="B197" s="410" t="s">
        <v>396</v>
      </c>
      <c r="C197" s="263">
        <f>sum(E197:E200)</f>
        <v>10</v>
      </c>
      <c r="D197" s="264" t="s">
        <v>12</v>
      </c>
      <c r="E197" s="264">
        <v>2.0</v>
      </c>
      <c r="F197" s="406"/>
      <c r="G197" s="406"/>
      <c r="H197" s="266" t="s">
        <v>349</v>
      </c>
      <c r="I197" s="286" t="s">
        <v>8</v>
      </c>
      <c r="K197" s="247"/>
      <c r="L197" s="247"/>
    </row>
    <row r="198">
      <c r="A198" s="248"/>
      <c r="D198" s="306" t="s">
        <v>98</v>
      </c>
      <c r="E198" s="306">
        <v>2.0</v>
      </c>
      <c r="F198" s="274"/>
      <c r="G198" s="274"/>
      <c r="H198" s="275" t="s">
        <v>100</v>
      </c>
      <c r="I198" s="255" t="s">
        <v>99</v>
      </c>
      <c r="K198" s="247"/>
      <c r="L198" s="247"/>
    </row>
    <row r="199">
      <c r="A199" s="248"/>
      <c r="D199" s="385" t="s">
        <v>121</v>
      </c>
      <c r="E199" s="385">
        <v>1.0</v>
      </c>
      <c r="F199" s="411"/>
      <c r="G199" s="411"/>
      <c r="H199" s="412" t="s">
        <v>328</v>
      </c>
      <c r="I199" s="389" t="s">
        <v>106</v>
      </c>
      <c r="K199" s="247"/>
      <c r="L199" s="247"/>
    </row>
    <row r="200">
      <c r="A200" s="259"/>
      <c r="B200" s="260"/>
      <c r="C200" s="260"/>
      <c r="D200" s="277" t="s">
        <v>144</v>
      </c>
      <c r="E200" s="277">
        <v>5.0</v>
      </c>
      <c r="F200" s="299"/>
      <c r="G200" s="299"/>
      <c r="H200" s="300" t="s">
        <v>146</v>
      </c>
      <c r="I200" s="301" t="s">
        <v>145</v>
      </c>
      <c r="K200" s="247"/>
      <c r="L200" s="247"/>
    </row>
    <row r="201">
      <c r="A201" s="413" t="s">
        <v>397</v>
      </c>
      <c r="B201" s="303" t="s">
        <v>398</v>
      </c>
      <c r="C201" s="263">
        <f>sum(E201:E205)</f>
        <v>10</v>
      </c>
      <c r="D201" s="264" t="s">
        <v>65</v>
      </c>
      <c r="E201" s="264">
        <v>3.0</v>
      </c>
      <c r="F201" s="283"/>
      <c r="G201" s="284"/>
      <c r="H201" s="285" t="s">
        <v>284</v>
      </c>
      <c r="I201" s="286" t="s">
        <v>66</v>
      </c>
      <c r="K201" s="247"/>
      <c r="L201" s="247"/>
    </row>
    <row r="202">
      <c r="A202" s="248"/>
      <c r="D202" s="321" t="s">
        <v>102</v>
      </c>
      <c r="E202" s="322">
        <v>2.0</v>
      </c>
      <c r="F202" s="323"/>
      <c r="G202" s="324"/>
      <c r="H202" s="324" t="s">
        <v>103</v>
      </c>
      <c r="I202" s="325" t="s">
        <v>99</v>
      </c>
      <c r="K202" s="247"/>
      <c r="L202" s="247"/>
    </row>
    <row r="203">
      <c r="A203" s="248"/>
      <c r="D203" s="353" t="s">
        <v>130</v>
      </c>
      <c r="E203" s="353">
        <v>1.0</v>
      </c>
      <c r="F203" s="105"/>
      <c r="G203" s="106"/>
      <c r="H203" s="354" t="s">
        <v>131</v>
      </c>
      <c r="I203" s="355" t="s">
        <v>106</v>
      </c>
      <c r="K203" s="247"/>
      <c r="L203" s="247"/>
    </row>
    <row r="204">
      <c r="A204" s="248"/>
      <c r="D204" s="251" t="s">
        <v>399</v>
      </c>
      <c r="E204" s="251">
        <v>2.0</v>
      </c>
      <c r="F204" s="274"/>
      <c r="G204" s="274"/>
      <c r="H204" s="414" t="s">
        <v>400</v>
      </c>
      <c r="I204" s="255" t="s">
        <v>44</v>
      </c>
      <c r="K204" s="247"/>
      <c r="L204" s="247"/>
    </row>
    <row r="205">
      <c r="A205" s="259"/>
      <c r="B205" s="260"/>
      <c r="C205" s="260"/>
      <c r="D205" s="314" t="s">
        <v>401</v>
      </c>
      <c r="E205" s="314">
        <v>2.0</v>
      </c>
      <c r="F205" s="315"/>
      <c r="G205" s="316"/>
      <c r="H205" s="280" t="s">
        <v>402</v>
      </c>
      <c r="I205" s="281" t="s">
        <v>44</v>
      </c>
      <c r="K205" s="247"/>
      <c r="L205" s="247"/>
    </row>
    <row r="206">
      <c r="A206" s="261" t="s">
        <v>403</v>
      </c>
      <c r="B206" s="262" t="s">
        <v>338</v>
      </c>
      <c r="C206" s="263">
        <f>sum(E206:E212)</f>
        <v>10</v>
      </c>
      <c r="D206" s="264" t="s">
        <v>163</v>
      </c>
      <c r="E206" s="264">
        <v>2.0</v>
      </c>
      <c r="F206" s="374"/>
      <c r="G206" s="305"/>
      <c r="H206" s="285" t="s">
        <v>165</v>
      </c>
      <c r="I206" s="286" t="s">
        <v>164</v>
      </c>
      <c r="K206" s="247"/>
      <c r="L206" s="247"/>
    </row>
    <row r="207">
      <c r="A207" s="248"/>
      <c r="D207" s="251" t="s">
        <v>154</v>
      </c>
      <c r="E207" s="251">
        <v>2.0</v>
      </c>
      <c r="F207" s="256"/>
      <c r="G207" s="253"/>
      <c r="H207" s="254" t="s">
        <v>155</v>
      </c>
      <c r="I207" s="287" t="s">
        <v>145</v>
      </c>
      <c r="K207" s="247"/>
      <c r="L207" s="247"/>
    </row>
    <row r="208">
      <c r="A208" s="248"/>
      <c r="D208" s="251" t="s">
        <v>291</v>
      </c>
      <c r="E208" s="251">
        <v>2.0</v>
      </c>
      <c r="F208" s="257"/>
      <c r="G208" s="258"/>
      <c r="H208" s="254" t="s">
        <v>284</v>
      </c>
      <c r="I208" s="255" t="s">
        <v>66</v>
      </c>
      <c r="K208" s="247"/>
      <c r="L208" s="247"/>
    </row>
    <row r="209">
      <c r="A209" s="248"/>
      <c r="D209" s="251" t="s">
        <v>186</v>
      </c>
      <c r="E209" s="377">
        <v>1.0</v>
      </c>
      <c r="F209" s="3"/>
      <c r="G209" s="378"/>
      <c r="H209" s="379" t="s">
        <v>188</v>
      </c>
      <c r="I209" s="276" t="s">
        <v>187</v>
      </c>
      <c r="K209" s="247"/>
      <c r="L209" s="247"/>
    </row>
    <row r="210">
      <c r="A210" s="248"/>
      <c r="D210" s="353" t="s">
        <v>130</v>
      </c>
      <c r="E210" s="353">
        <v>1.0</v>
      </c>
      <c r="F210" s="105"/>
      <c r="G210" s="106"/>
      <c r="H210" s="354" t="s">
        <v>131</v>
      </c>
      <c r="I210" s="355" t="s">
        <v>106</v>
      </c>
      <c r="K210" s="247"/>
      <c r="L210" s="247"/>
    </row>
    <row r="211">
      <c r="A211" s="248"/>
      <c r="D211" s="251" t="s">
        <v>132</v>
      </c>
      <c r="E211" s="251">
        <v>1.0</v>
      </c>
      <c r="F211" s="252"/>
      <c r="G211" s="253"/>
      <c r="H211" s="254" t="s">
        <v>133</v>
      </c>
      <c r="I211" s="255" t="s">
        <v>106</v>
      </c>
      <c r="K211" s="247"/>
      <c r="L211" s="247"/>
    </row>
    <row r="212">
      <c r="A212" s="259"/>
      <c r="B212" s="260"/>
      <c r="C212" s="260"/>
      <c r="D212" s="277" t="s">
        <v>141</v>
      </c>
      <c r="E212" s="277">
        <v>1.0</v>
      </c>
      <c r="F212" s="308"/>
      <c r="G212" s="308"/>
      <c r="H212" s="300" t="s">
        <v>142</v>
      </c>
      <c r="I212" s="281" t="s">
        <v>106</v>
      </c>
      <c r="K212" s="247"/>
      <c r="L212" s="247"/>
    </row>
    <row r="213">
      <c r="A213" s="261" t="s">
        <v>404</v>
      </c>
      <c r="B213" s="262" t="s">
        <v>405</v>
      </c>
      <c r="C213" s="263">
        <f>sum(E213:E218)</f>
        <v>10</v>
      </c>
      <c r="D213" s="265" t="s">
        <v>98</v>
      </c>
      <c r="E213" s="265">
        <v>2.0</v>
      </c>
      <c r="F213" s="332"/>
      <c r="G213" s="332"/>
      <c r="H213" s="333" t="s">
        <v>100</v>
      </c>
      <c r="I213" s="286" t="s">
        <v>99</v>
      </c>
      <c r="K213" s="247"/>
      <c r="L213" s="247"/>
    </row>
    <row r="214">
      <c r="A214" s="248"/>
      <c r="D214" s="251" t="s">
        <v>163</v>
      </c>
      <c r="E214" s="251">
        <v>2.0</v>
      </c>
      <c r="F214" s="256"/>
      <c r="G214" s="253"/>
      <c r="H214" s="254" t="s">
        <v>165</v>
      </c>
      <c r="I214" s="255" t="s">
        <v>164</v>
      </c>
      <c r="K214" s="247"/>
      <c r="L214" s="247"/>
    </row>
    <row r="215">
      <c r="A215" s="248"/>
      <c r="D215" s="251" t="s">
        <v>59</v>
      </c>
      <c r="E215" s="251">
        <v>1.0</v>
      </c>
      <c r="F215" s="251"/>
      <c r="G215" s="251"/>
      <c r="H215" s="293" t="s">
        <v>60</v>
      </c>
      <c r="I215" s="255" t="s">
        <v>44</v>
      </c>
      <c r="K215" s="247"/>
      <c r="L215" s="247"/>
    </row>
    <row r="216">
      <c r="A216" s="248"/>
      <c r="D216" s="251" t="s">
        <v>406</v>
      </c>
      <c r="E216" s="251">
        <v>3.0</v>
      </c>
      <c r="F216" s="252"/>
      <c r="G216" s="253"/>
      <c r="H216" s="254" t="s">
        <v>32</v>
      </c>
      <c r="I216" s="336" t="s">
        <v>31</v>
      </c>
      <c r="K216" s="247"/>
      <c r="L216" s="247"/>
    </row>
    <row r="217">
      <c r="A217" s="248"/>
      <c r="D217" s="251" t="s">
        <v>135</v>
      </c>
      <c r="E217" s="251">
        <v>1.0</v>
      </c>
      <c r="F217" s="252"/>
      <c r="G217" s="253"/>
      <c r="H217" s="254" t="s">
        <v>136</v>
      </c>
      <c r="I217" s="255" t="s">
        <v>106</v>
      </c>
      <c r="K217" s="247"/>
      <c r="L217" s="247"/>
    </row>
    <row r="218">
      <c r="A218" s="259"/>
      <c r="B218" s="260"/>
      <c r="C218" s="260"/>
      <c r="D218" s="415" t="s">
        <v>138</v>
      </c>
      <c r="E218" s="416">
        <v>1.0</v>
      </c>
      <c r="F218" s="417"/>
      <c r="G218" s="418"/>
      <c r="H218" s="419" t="s">
        <v>139</v>
      </c>
      <c r="I218" s="420" t="s">
        <v>106</v>
      </c>
      <c r="K218" s="247"/>
      <c r="L218" s="247"/>
    </row>
    <row r="219">
      <c r="A219" s="261" t="s">
        <v>407</v>
      </c>
      <c r="B219" s="262" t="s">
        <v>408</v>
      </c>
      <c r="C219" s="263">
        <f>sum(E219:E224)</f>
        <v>10</v>
      </c>
      <c r="D219" s="264" t="s">
        <v>135</v>
      </c>
      <c r="E219" s="264">
        <v>1.0</v>
      </c>
      <c r="F219" s="330"/>
      <c r="G219" s="305"/>
      <c r="H219" s="285" t="s">
        <v>136</v>
      </c>
      <c r="I219" s="286" t="s">
        <v>106</v>
      </c>
      <c r="K219" s="247"/>
      <c r="L219" s="247"/>
    </row>
    <row r="220">
      <c r="A220" s="248"/>
      <c r="D220" s="295" t="s">
        <v>80</v>
      </c>
      <c r="E220" s="295">
        <v>2.0</v>
      </c>
      <c r="F220" s="70"/>
      <c r="G220" s="72"/>
      <c r="H220" s="296" t="s">
        <v>81</v>
      </c>
      <c r="I220" s="297" t="s">
        <v>66</v>
      </c>
      <c r="K220" s="247"/>
      <c r="L220" s="247"/>
    </row>
    <row r="221">
      <c r="A221" s="248"/>
      <c r="D221" s="251" t="s">
        <v>167</v>
      </c>
      <c r="E221" s="251">
        <v>2.0</v>
      </c>
      <c r="F221" s="306"/>
      <c r="G221" s="306"/>
      <c r="H221" s="293" t="s">
        <v>168</v>
      </c>
      <c r="I221" s="255" t="s">
        <v>164</v>
      </c>
      <c r="K221" s="247"/>
      <c r="L221" s="247"/>
    </row>
    <row r="222">
      <c r="A222" s="248"/>
      <c r="D222" s="249" t="s">
        <v>180</v>
      </c>
      <c r="E222" s="244">
        <v>3.0</v>
      </c>
      <c r="F222" s="172"/>
      <c r="G222" s="173"/>
      <c r="H222" s="250" t="s">
        <v>181</v>
      </c>
      <c r="I222" s="246" t="s">
        <v>177</v>
      </c>
      <c r="K222" s="247"/>
      <c r="L222" s="247"/>
    </row>
    <row r="223">
      <c r="A223" s="248"/>
      <c r="D223" s="251" t="s">
        <v>118</v>
      </c>
      <c r="E223" s="251">
        <v>1.0</v>
      </c>
      <c r="F223" s="253"/>
      <c r="G223" s="253"/>
      <c r="H223" s="254" t="s">
        <v>323</v>
      </c>
      <c r="I223" s="255" t="s">
        <v>106</v>
      </c>
      <c r="K223" s="247"/>
      <c r="L223" s="247"/>
    </row>
    <row r="224">
      <c r="A224" s="259"/>
      <c r="B224" s="260"/>
      <c r="C224" s="260"/>
      <c r="D224" s="277" t="s">
        <v>409</v>
      </c>
      <c r="E224" s="277">
        <v>1.0</v>
      </c>
      <c r="F224" s="299"/>
      <c r="G224" s="299"/>
      <c r="H224" s="300" t="s">
        <v>410</v>
      </c>
      <c r="I224" s="281" t="s">
        <v>106</v>
      </c>
      <c r="K224" s="247"/>
      <c r="L224" s="247"/>
    </row>
    <row r="225">
      <c r="A225" s="261" t="s">
        <v>411</v>
      </c>
      <c r="B225" s="262" t="s">
        <v>412</v>
      </c>
      <c r="C225" s="263">
        <f>sum(E225:E228)</f>
        <v>10</v>
      </c>
      <c r="D225" s="264" t="s">
        <v>163</v>
      </c>
      <c r="E225" s="264">
        <v>2.0</v>
      </c>
      <c r="F225" s="374"/>
      <c r="G225" s="305"/>
      <c r="H225" s="285" t="s">
        <v>165</v>
      </c>
      <c r="I225" s="286" t="s">
        <v>164</v>
      </c>
      <c r="K225" s="247"/>
      <c r="L225" s="247"/>
    </row>
    <row r="226">
      <c r="A226" s="248"/>
      <c r="D226" s="249" t="s">
        <v>183</v>
      </c>
      <c r="E226" s="244">
        <v>2.0</v>
      </c>
      <c r="F226" s="172"/>
      <c r="G226" s="173"/>
      <c r="H226" s="173" t="s">
        <v>184</v>
      </c>
      <c r="I226" s="246" t="s">
        <v>177</v>
      </c>
      <c r="K226" s="247"/>
      <c r="L226" s="247"/>
    </row>
    <row r="227">
      <c r="A227" s="248"/>
      <c r="D227" s="251" t="s">
        <v>144</v>
      </c>
      <c r="E227" s="251">
        <v>5.0</v>
      </c>
      <c r="F227" s="306"/>
      <c r="G227" s="306"/>
      <c r="H227" s="293" t="s">
        <v>146</v>
      </c>
      <c r="I227" s="287" t="s">
        <v>145</v>
      </c>
      <c r="K227" s="247"/>
      <c r="L227" s="247"/>
    </row>
    <row r="228">
      <c r="A228" s="259"/>
      <c r="B228" s="260"/>
      <c r="C228" s="260"/>
      <c r="D228" s="277" t="s">
        <v>132</v>
      </c>
      <c r="E228" s="277">
        <v>1.0</v>
      </c>
      <c r="F228" s="315"/>
      <c r="G228" s="316"/>
      <c r="H228" s="280" t="s">
        <v>133</v>
      </c>
      <c r="I228" s="281" t="s">
        <v>106</v>
      </c>
      <c r="K228" s="247"/>
      <c r="L228" s="247"/>
    </row>
    <row r="229">
      <c r="A229" s="261" t="s">
        <v>413</v>
      </c>
      <c r="B229" s="262" t="s">
        <v>412</v>
      </c>
      <c r="C229" s="263">
        <f>sum(E229:E233)</f>
        <v>10</v>
      </c>
      <c r="D229" s="264" t="s">
        <v>23</v>
      </c>
      <c r="E229" s="264">
        <v>2.0</v>
      </c>
      <c r="F229" s="374"/>
      <c r="G229" s="305"/>
      <c r="H229" s="285" t="s">
        <v>308</v>
      </c>
      <c r="I229" s="286" t="s">
        <v>24</v>
      </c>
      <c r="K229" s="247"/>
      <c r="L229" s="247"/>
    </row>
    <row r="230">
      <c r="A230" s="248"/>
      <c r="D230" s="251" t="s">
        <v>291</v>
      </c>
      <c r="E230" s="251">
        <v>2.0</v>
      </c>
      <c r="F230" s="257"/>
      <c r="G230" s="258"/>
      <c r="H230" s="254" t="s">
        <v>284</v>
      </c>
      <c r="I230" s="255" t="s">
        <v>66</v>
      </c>
      <c r="K230" s="247"/>
      <c r="L230" s="247"/>
    </row>
    <row r="231">
      <c r="A231" s="248"/>
      <c r="D231" s="251" t="s">
        <v>163</v>
      </c>
      <c r="E231" s="251">
        <v>2.0</v>
      </c>
      <c r="F231" s="256"/>
      <c r="G231" s="252"/>
      <c r="H231" s="294" t="s">
        <v>165</v>
      </c>
      <c r="I231" s="255" t="s">
        <v>164</v>
      </c>
      <c r="K231" s="247"/>
      <c r="L231" s="247"/>
    </row>
    <row r="232">
      <c r="A232" s="248"/>
      <c r="D232" s="249" t="s">
        <v>180</v>
      </c>
      <c r="E232" s="244">
        <v>3.0</v>
      </c>
      <c r="F232" s="172"/>
      <c r="G232" s="173"/>
      <c r="H232" s="250" t="s">
        <v>181</v>
      </c>
      <c r="I232" s="246" t="s">
        <v>177</v>
      </c>
      <c r="K232" s="247"/>
      <c r="L232" s="247"/>
    </row>
    <row r="233">
      <c r="A233" s="259"/>
      <c r="B233" s="260"/>
      <c r="C233" s="260"/>
      <c r="D233" s="277" t="s">
        <v>135</v>
      </c>
      <c r="E233" s="277">
        <v>1.0</v>
      </c>
      <c r="F233" s="315"/>
      <c r="G233" s="316"/>
      <c r="H233" s="280" t="s">
        <v>136</v>
      </c>
      <c r="I233" s="281" t="s">
        <v>106</v>
      </c>
      <c r="K233" s="247"/>
      <c r="L233" s="247"/>
    </row>
    <row r="234">
      <c r="A234" s="261" t="s">
        <v>414</v>
      </c>
      <c r="B234" s="262" t="s">
        <v>415</v>
      </c>
      <c r="C234" s="263">
        <f>sum(E234:E239)</f>
        <v>10</v>
      </c>
      <c r="D234" s="421" t="s">
        <v>118</v>
      </c>
      <c r="E234" s="421">
        <v>1.0</v>
      </c>
      <c r="F234" s="422"/>
      <c r="G234" s="422"/>
      <c r="H234" s="422" t="s">
        <v>323</v>
      </c>
      <c r="I234" s="423" t="s">
        <v>106</v>
      </c>
      <c r="K234" s="247"/>
      <c r="L234" s="247"/>
    </row>
    <row r="235">
      <c r="A235" s="248"/>
      <c r="D235" s="251" t="s">
        <v>59</v>
      </c>
      <c r="E235" s="251">
        <v>1.0</v>
      </c>
      <c r="F235" s="251"/>
      <c r="G235" s="251"/>
      <c r="H235" s="293" t="s">
        <v>60</v>
      </c>
      <c r="I235" s="255" t="s">
        <v>44</v>
      </c>
      <c r="K235" s="247"/>
      <c r="L235" s="247"/>
    </row>
    <row r="236">
      <c r="A236" s="248"/>
      <c r="D236" s="306" t="s">
        <v>98</v>
      </c>
      <c r="E236" s="306">
        <v>2.0</v>
      </c>
      <c r="F236" s="274"/>
      <c r="G236" s="274"/>
      <c r="H236" s="275" t="s">
        <v>100</v>
      </c>
      <c r="I236" s="255" t="s">
        <v>99</v>
      </c>
      <c r="K236" s="247"/>
      <c r="L236" s="247"/>
    </row>
    <row r="237">
      <c r="A237" s="248"/>
      <c r="D237" s="357" t="s">
        <v>176</v>
      </c>
      <c r="E237" s="357">
        <v>3.0</v>
      </c>
      <c r="F237" s="253"/>
      <c r="G237" s="253"/>
      <c r="H237" s="254" t="s">
        <v>290</v>
      </c>
      <c r="I237" s="255" t="s">
        <v>177</v>
      </c>
      <c r="K237" s="247"/>
      <c r="L237" s="247"/>
    </row>
    <row r="238">
      <c r="A238" s="248"/>
      <c r="D238" s="251" t="s">
        <v>167</v>
      </c>
      <c r="E238" s="251">
        <v>2.0</v>
      </c>
      <c r="F238" s="306"/>
      <c r="G238" s="306"/>
      <c r="H238" s="293" t="s">
        <v>168</v>
      </c>
      <c r="I238" s="255" t="s">
        <v>164</v>
      </c>
      <c r="K238" s="247"/>
      <c r="L238" s="247"/>
    </row>
    <row r="239">
      <c r="A239" s="259"/>
      <c r="B239" s="260"/>
      <c r="C239" s="260"/>
      <c r="D239" s="277" t="s">
        <v>141</v>
      </c>
      <c r="E239" s="277">
        <v>1.0</v>
      </c>
      <c r="F239" s="308"/>
      <c r="G239" s="308"/>
      <c r="H239" s="300" t="s">
        <v>142</v>
      </c>
      <c r="I239" s="281" t="s">
        <v>106</v>
      </c>
      <c r="K239" s="247"/>
      <c r="L239" s="247"/>
    </row>
    <row r="240">
      <c r="A240" s="261" t="s">
        <v>416</v>
      </c>
      <c r="B240" s="262" t="s">
        <v>417</v>
      </c>
      <c r="C240" s="263">
        <f>sum(E240:E246)</f>
        <v>10</v>
      </c>
      <c r="D240" s="424" t="s">
        <v>95</v>
      </c>
      <c r="E240" s="425">
        <v>1.0</v>
      </c>
      <c r="F240" s="426"/>
      <c r="G240" s="426"/>
      <c r="H240" s="426" t="s">
        <v>96</v>
      </c>
      <c r="I240" s="427" t="s">
        <v>66</v>
      </c>
      <c r="K240" s="247"/>
      <c r="L240" s="247"/>
    </row>
    <row r="241">
      <c r="A241" s="248"/>
      <c r="D241" s="251" t="s">
        <v>160</v>
      </c>
      <c r="E241" s="251">
        <v>1.0</v>
      </c>
      <c r="F241" s="306"/>
      <c r="G241" s="306"/>
      <c r="H241" s="254" t="s">
        <v>161</v>
      </c>
      <c r="I241" s="287" t="s">
        <v>145</v>
      </c>
      <c r="K241" s="247"/>
      <c r="L241" s="247"/>
    </row>
    <row r="242">
      <c r="A242" s="248"/>
      <c r="D242" s="251" t="s">
        <v>20</v>
      </c>
      <c r="E242" s="251">
        <v>2.0</v>
      </c>
      <c r="F242" s="252"/>
      <c r="G242" s="253"/>
      <c r="H242" s="254" t="s">
        <v>21</v>
      </c>
      <c r="I242" s="255" t="s">
        <v>8</v>
      </c>
      <c r="K242" s="247"/>
      <c r="L242" s="247"/>
    </row>
    <row r="243">
      <c r="A243" s="248"/>
      <c r="D243" s="251" t="s">
        <v>23</v>
      </c>
      <c r="E243" s="251">
        <v>2.0</v>
      </c>
      <c r="F243" s="256"/>
      <c r="G243" s="253"/>
      <c r="H243" s="254" t="s">
        <v>308</v>
      </c>
      <c r="I243" s="255" t="s">
        <v>24</v>
      </c>
      <c r="K243" s="247"/>
      <c r="L243" s="247"/>
    </row>
    <row r="244">
      <c r="A244" s="248"/>
      <c r="D244" s="251" t="s">
        <v>59</v>
      </c>
      <c r="E244" s="251">
        <v>1.0</v>
      </c>
      <c r="F244" s="251"/>
      <c r="G244" s="251"/>
      <c r="H244" s="293" t="s">
        <v>60</v>
      </c>
      <c r="I244" s="255" t="s">
        <v>44</v>
      </c>
      <c r="K244" s="247"/>
      <c r="L244" s="247"/>
    </row>
    <row r="245">
      <c r="A245" s="248"/>
      <c r="D245" s="306" t="s">
        <v>98</v>
      </c>
      <c r="E245" s="306">
        <v>2.0</v>
      </c>
      <c r="F245" s="274"/>
      <c r="G245" s="274"/>
      <c r="H245" s="275" t="s">
        <v>100</v>
      </c>
      <c r="I245" s="255" t="s">
        <v>99</v>
      </c>
      <c r="K245" s="247"/>
      <c r="L245" s="247"/>
    </row>
    <row r="246">
      <c r="A246" s="259"/>
      <c r="B246" s="260"/>
      <c r="C246" s="260"/>
      <c r="D246" s="277" t="s">
        <v>118</v>
      </c>
      <c r="E246" s="277">
        <v>1.0</v>
      </c>
      <c r="F246" s="316"/>
      <c r="G246" s="316"/>
      <c r="H246" s="280" t="s">
        <v>323</v>
      </c>
      <c r="I246" s="281" t="s">
        <v>106</v>
      </c>
      <c r="K246" s="247"/>
      <c r="L246" s="247"/>
    </row>
    <row r="247">
      <c r="A247" s="261" t="s">
        <v>418</v>
      </c>
      <c r="B247" s="262" t="s">
        <v>419</v>
      </c>
      <c r="C247" s="263">
        <f>sum(E247:E252)</f>
        <v>10</v>
      </c>
      <c r="D247" s="264" t="s">
        <v>406</v>
      </c>
      <c r="E247" s="264">
        <v>3.0</v>
      </c>
      <c r="F247" s="330"/>
      <c r="G247" s="305"/>
      <c r="H247" s="285" t="s">
        <v>32</v>
      </c>
      <c r="I247" s="428" t="s">
        <v>31</v>
      </c>
      <c r="K247" s="247"/>
      <c r="L247" s="247"/>
    </row>
    <row r="248">
      <c r="A248" s="248"/>
      <c r="D248" s="251" t="s">
        <v>59</v>
      </c>
      <c r="E248" s="251">
        <v>1.0</v>
      </c>
      <c r="F248" s="251"/>
      <c r="G248" s="251"/>
      <c r="H248" s="293" t="s">
        <v>60</v>
      </c>
      <c r="I248" s="255" t="s">
        <v>44</v>
      </c>
      <c r="K248" s="247"/>
      <c r="L248" s="247"/>
    </row>
    <row r="249">
      <c r="A249" s="248"/>
      <c r="D249" s="429" t="s">
        <v>95</v>
      </c>
      <c r="E249" s="430">
        <v>1.0</v>
      </c>
      <c r="F249" s="431"/>
      <c r="G249" s="431"/>
      <c r="H249" s="431" t="s">
        <v>96</v>
      </c>
      <c r="I249" s="432" t="s">
        <v>66</v>
      </c>
      <c r="K249" s="247"/>
      <c r="L249" s="247"/>
    </row>
    <row r="250">
      <c r="A250" s="248"/>
      <c r="D250" s="251" t="s">
        <v>163</v>
      </c>
      <c r="E250" s="251">
        <v>2.0</v>
      </c>
      <c r="F250" s="256"/>
      <c r="G250" s="252"/>
      <c r="H250" s="294" t="s">
        <v>165</v>
      </c>
      <c r="I250" s="255" t="s">
        <v>164</v>
      </c>
      <c r="K250" s="247"/>
      <c r="L250" s="247"/>
    </row>
    <row r="251">
      <c r="A251" s="248"/>
      <c r="D251" s="251" t="s">
        <v>105</v>
      </c>
      <c r="E251" s="251">
        <v>2.0</v>
      </c>
      <c r="F251" s="364"/>
      <c r="G251" s="364"/>
      <c r="H251" s="293" t="s">
        <v>107</v>
      </c>
      <c r="I251" s="255" t="s">
        <v>106</v>
      </c>
      <c r="K251" s="247"/>
      <c r="L251" s="247"/>
    </row>
    <row r="252">
      <c r="A252" s="259"/>
      <c r="B252" s="260"/>
      <c r="C252" s="260"/>
      <c r="D252" s="277" t="s">
        <v>132</v>
      </c>
      <c r="E252" s="277">
        <v>1.0</v>
      </c>
      <c r="F252" s="315"/>
      <c r="G252" s="316"/>
      <c r="H252" s="280" t="s">
        <v>133</v>
      </c>
      <c r="I252" s="281" t="s">
        <v>106</v>
      </c>
      <c r="K252" s="247"/>
      <c r="L252" s="247"/>
    </row>
    <row r="253">
      <c r="A253" s="390" t="s">
        <v>420</v>
      </c>
      <c r="B253" s="433" t="s">
        <v>421</v>
      </c>
      <c r="C253" s="263">
        <f>sum(E253:E258)</f>
        <v>10</v>
      </c>
      <c r="D253" s="264" t="s">
        <v>173</v>
      </c>
      <c r="E253" s="264">
        <v>1.0</v>
      </c>
      <c r="F253" s="330"/>
      <c r="G253" s="305"/>
      <c r="H253" s="285" t="s">
        <v>422</v>
      </c>
      <c r="I253" s="286" t="s">
        <v>164</v>
      </c>
      <c r="K253" s="247"/>
      <c r="L253" s="247"/>
    </row>
    <row r="254">
      <c r="A254" s="248"/>
      <c r="D254" s="251" t="s">
        <v>291</v>
      </c>
      <c r="E254" s="251">
        <v>2.0</v>
      </c>
      <c r="F254" s="257"/>
      <c r="G254" s="258"/>
      <c r="H254" s="254" t="s">
        <v>284</v>
      </c>
      <c r="I254" s="255" t="s">
        <v>66</v>
      </c>
      <c r="K254" s="247"/>
      <c r="L254" s="247"/>
    </row>
    <row r="255">
      <c r="A255" s="248"/>
      <c r="D255" s="251" t="s">
        <v>20</v>
      </c>
      <c r="E255" s="251">
        <v>2.0</v>
      </c>
      <c r="F255" s="252"/>
      <c r="G255" s="253"/>
      <c r="H255" s="254" t="s">
        <v>21</v>
      </c>
      <c r="I255" s="255" t="s">
        <v>8</v>
      </c>
      <c r="K255" s="247"/>
      <c r="L255" s="247"/>
    </row>
    <row r="256">
      <c r="A256" s="248"/>
      <c r="D256" s="434" t="s">
        <v>27</v>
      </c>
      <c r="E256" s="435">
        <v>1.0</v>
      </c>
      <c r="F256" s="436"/>
      <c r="G256" s="437"/>
      <c r="H256" s="438" t="s">
        <v>28</v>
      </c>
      <c r="I256" s="439" t="s">
        <v>24</v>
      </c>
      <c r="K256" s="247"/>
      <c r="L256" s="247"/>
    </row>
    <row r="257">
      <c r="A257" s="248"/>
      <c r="D257" s="249" t="s">
        <v>180</v>
      </c>
      <c r="E257" s="244">
        <v>3.0</v>
      </c>
      <c r="F257" s="172"/>
      <c r="G257" s="173"/>
      <c r="H257" s="250" t="s">
        <v>181</v>
      </c>
      <c r="I257" s="246" t="s">
        <v>177</v>
      </c>
      <c r="K257" s="247"/>
      <c r="L257" s="247"/>
    </row>
    <row r="258">
      <c r="A258" s="259"/>
      <c r="B258" s="260"/>
      <c r="C258" s="260"/>
      <c r="D258" s="405" t="s">
        <v>423</v>
      </c>
      <c r="E258" s="409">
        <v>1.0</v>
      </c>
      <c r="F258" s="315"/>
      <c r="G258" s="316"/>
      <c r="H258" s="395" t="s">
        <v>424</v>
      </c>
      <c r="I258" s="281" t="s">
        <v>106</v>
      </c>
      <c r="K258" s="247"/>
      <c r="L258" s="247"/>
    </row>
    <row r="259">
      <c r="A259" s="261" t="s">
        <v>425</v>
      </c>
      <c r="B259" s="262" t="s">
        <v>426</v>
      </c>
      <c r="C259" s="263">
        <f>sum(E259:E263)</f>
        <v>10</v>
      </c>
      <c r="D259" s="440" t="s">
        <v>102</v>
      </c>
      <c r="E259" s="441">
        <v>2.0</v>
      </c>
      <c r="F259" s="442"/>
      <c r="G259" s="443"/>
      <c r="H259" s="443" t="s">
        <v>103</v>
      </c>
      <c r="I259" s="444" t="s">
        <v>99</v>
      </c>
      <c r="K259" s="247"/>
      <c r="L259" s="247"/>
    </row>
    <row r="260">
      <c r="A260" s="248"/>
      <c r="D260" s="306" t="s">
        <v>62</v>
      </c>
      <c r="E260" s="306">
        <v>1.0</v>
      </c>
      <c r="F260" s="274"/>
      <c r="G260" s="274"/>
      <c r="H260" s="275" t="s">
        <v>63</v>
      </c>
      <c r="I260" s="255" t="s">
        <v>44</v>
      </c>
      <c r="K260" s="247"/>
      <c r="L260" s="247"/>
    </row>
    <row r="261">
      <c r="A261" s="248"/>
      <c r="D261" s="251" t="s">
        <v>331</v>
      </c>
      <c r="E261" s="251">
        <v>2.0</v>
      </c>
      <c r="F261" s="252"/>
      <c r="G261" s="253"/>
      <c r="H261" s="254" t="s">
        <v>332</v>
      </c>
      <c r="I261" s="255" t="s">
        <v>8</v>
      </c>
      <c r="K261" s="247"/>
      <c r="L261" s="247"/>
    </row>
    <row r="262">
      <c r="A262" s="248"/>
      <c r="D262" s="251" t="s">
        <v>406</v>
      </c>
      <c r="E262" s="251">
        <v>3.0</v>
      </c>
      <c r="F262" s="252"/>
      <c r="G262" s="253"/>
      <c r="H262" s="254" t="s">
        <v>32</v>
      </c>
      <c r="I262" s="336" t="s">
        <v>31</v>
      </c>
      <c r="K262" s="247"/>
      <c r="L262" s="247"/>
    </row>
    <row r="263">
      <c r="A263" s="259"/>
      <c r="B263" s="260"/>
      <c r="C263" s="260"/>
      <c r="D263" s="277" t="s">
        <v>291</v>
      </c>
      <c r="E263" s="277">
        <v>2.0</v>
      </c>
      <c r="F263" s="278"/>
      <c r="G263" s="279"/>
      <c r="H263" s="280" t="s">
        <v>284</v>
      </c>
      <c r="I263" s="281" t="s">
        <v>66</v>
      </c>
      <c r="K263" s="247"/>
      <c r="L263" s="247"/>
    </row>
    <row r="264">
      <c r="A264" s="261" t="s">
        <v>427</v>
      </c>
      <c r="B264" s="262" t="s">
        <v>428</v>
      </c>
      <c r="C264" s="263">
        <f>sum(E264:E268)</f>
        <v>10</v>
      </c>
      <c r="D264" s="264" t="s">
        <v>331</v>
      </c>
      <c r="E264" s="264">
        <v>2.0</v>
      </c>
      <c r="F264" s="406"/>
      <c r="G264" s="406"/>
      <c r="H264" s="266" t="s">
        <v>332</v>
      </c>
      <c r="I264" s="445" t="s">
        <v>8</v>
      </c>
      <c r="K264" s="247"/>
      <c r="L264" s="247"/>
    </row>
    <row r="265">
      <c r="A265" s="248"/>
      <c r="D265" s="251" t="s">
        <v>163</v>
      </c>
      <c r="E265" s="251">
        <v>2.0</v>
      </c>
      <c r="F265" s="446"/>
      <c r="G265" s="364"/>
      <c r="H265" s="293" t="s">
        <v>165</v>
      </c>
      <c r="I265" s="447" t="s">
        <v>164</v>
      </c>
      <c r="K265" s="247"/>
      <c r="L265" s="247"/>
    </row>
    <row r="266">
      <c r="A266" s="248"/>
      <c r="D266" s="251" t="s">
        <v>291</v>
      </c>
      <c r="E266" s="251">
        <v>2.0</v>
      </c>
      <c r="F266" s="306"/>
      <c r="G266" s="306"/>
      <c r="H266" s="293" t="s">
        <v>284</v>
      </c>
      <c r="I266" s="447" t="s">
        <v>66</v>
      </c>
      <c r="K266" s="247"/>
      <c r="L266" s="247"/>
    </row>
    <row r="267">
      <c r="A267" s="248"/>
      <c r="D267" s="448" t="s">
        <v>180</v>
      </c>
      <c r="E267" s="448">
        <v>3.0</v>
      </c>
      <c r="F267" s="449"/>
      <c r="G267" s="449"/>
      <c r="H267" s="450" t="s">
        <v>181</v>
      </c>
      <c r="I267" s="451" t="s">
        <v>177</v>
      </c>
      <c r="K267" s="247"/>
      <c r="L267" s="247"/>
    </row>
    <row r="268">
      <c r="A268" s="259"/>
      <c r="B268" s="260"/>
      <c r="C268" s="260"/>
      <c r="D268" s="452" t="s">
        <v>190</v>
      </c>
      <c r="E268" s="452">
        <v>1.0</v>
      </c>
      <c r="F268" s="453"/>
      <c r="G268" s="454"/>
      <c r="H268" s="455" t="s">
        <v>191</v>
      </c>
      <c r="I268" s="456" t="s">
        <v>187</v>
      </c>
      <c r="K268" s="247"/>
      <c r="L268" s="247"/>
    </row>
    <row r="269">
      <c r="A269" s="261" t="s">
        <v>429</v>
      </c>
      <c r="B269" s="303" t="s">
        <v>430</v>
      </c>
      <c r="C269" s="263">
        <f>sum(E269:E273)</f>
        <v>10</v>
      </c>
      <c r="D269" s="264" t="s">
        <v>12</v>
      </c>
      <c r="E269" s="264">
        <v>3.0</v>
      </c>
      <c r="F269" s="406"/>
      <c r="G269" s="406"/>
      <c r="H269" s="266" t="s">
        <v>349</v>
      </c>
      <c r="I269" s="286" t="s">
        <v>8</v>
      </c>
      <c r="K269" s="247"/>
      <c r="L269" s="247"/>
    </row>
    <row r="270">
      <c r="A270" s="248"/>
      <c r="D270" s="251" t="s">
        <v>56</v>
      </c>
      <c r="E270" s="251">
        <v>1.0</v>
      </c>
      <c r="F270" s="252"/>
      <c r="G270" s="253"/>
      <c r="H270" s="254" t="s">
        <v>57</v>
      </c>
      <c r="I270" s="255" t="s">
        <v>44</v>
      </c>
      <c r="K270" s="247"/>
      <c r="L270" s="247"/>
    </row>
    <row r="271">
      <c r="A271" s="248"/>
      <c r="D271" s="251" t="s">
        <v>291</v>
      </c>
      <c r="E271" s="251">
        <v>2.0</v>
      </c>
      <c r="F271" s="257"/>
      <c r="G271" s="258"/>
      <c r="H271" s="254" t="s">
        <v>284</v>
      </c>
      <c r="I271" s="255" t="s">
        <v>66</v>
      </c>
      <c r="K271" s="247"/>
      <c r="L271" s="247"/>
    </row>
    <row r="272">
      <c r="A272" s="248"/>
      <c r="D272" s="251" t="s">
        <v>163</v>
      </c>
      <c r="E272" s="251">
        <v>2.0</v>
      </c>
      <c r="F272" s="256"/>
      <c r="G272" s="253"/>
      <c r="H272" s="254" t="s">
        <v>165</v>
      </c>
      <c r="I272" s="255" t="s">
        <v>164</v>
      </c>
      <c r="K272" s="247"/>
      <c r="L272" s="247"/>
    </row>
    <row r="273">
      <c r="A273" s="259"/>
      <c r="B273" s="260"/>
      <c r="C273" s="260"/>
      <c r="D273" s="306" t="s">
        <v>98</v>
      </c>
      <c r="E273" s="306">
        <v>2.0</v>
      </c>
      <c r="F273" s="274"/>
      <c r="G273" s="274"/>
      <c r="H273" s="275" t="s">
        <v>100</v>
      </c>
      <c r="I273" s="255" t="s">
        <v>99</v>
      </c>
      <c r="K273" s="247"/>
      <c r="L273" s="247"/>
    </row>
    <row r="274">
      <c r="A274" s="328" t="s">
        <v>431</v>
      </c>
      <c r="B274" s="303" t="s">
        <v>432</v>
      </c>
      <c r="C274" s="263">
        <f>sum(E274:E279)</f>
        <v>10</v>
      </c>
      <c r="D274" s="264" t="s">
        <v>167</v>
      </c>
      <c r="E274" s="264">
        <v>2.0</v>
      </c>
      <c r="F274" s="265"/>
      <c r="G274" s="265"/>
      <c r="H274" s="266" t="s">
        <v>168</v>
      </c>
      <c r="I274" s="286" t="s">
        <v>164</v>
      </c>
      <c r="K274" s="247"/>
      <c r="L274" s="247"/>
    </row>
    <row r="275">
      <c r="A275" s="248"/>
      <c r="D275" s="251" t="s">
        <v>12</v>
      </c>
      <c r="E275" s="251">
        <v>2.0</v>
      </c>
      <c r="F275" s="364"/>
      <c r="G275" s="364"/>
      <c r="H275" s="293" t="s">
        <v>349</v>
      </c>
      <c r="I275" s="255" t="s">
        <v>8</v>
      </c>
      <c r="K275" s="247"/>
      <c r="L275" s="247"/>
    </row>
    <row r="276">
      <c r="A276" s="248"/>
      <c r="D276" s="251" t="s">
        <v>65</v>
      </c>
      <c r="E276" s="251">
        <v>3.0</v>
      </c>
      <c r="F276" s="252"/>
      <c r="G276" s="253"/>
      <c r="H276" s="254" t="s">
        <v>284</v>
      </c>
      <c r="I276" s="255" t="s">
        <v>66</v>
      </c>
      <c r="K276" s="247"/>
      <c r="L276" s="247"/>
    </row>
    <row r="277">
      <c r="A277" s="248"/>
      <c r="I277" s="331"/>
      <c r="K277" s="247"/>
      <c r="L277" s="247"/>
    </row>
    <row r="278">
      <c r="A278" s="248"/>
      <c r="D278" s="321" t="s">
        <v>102</v>
      </c>
      <c r="E278" s="322">
        <v>2.0</v>
      </c>
      <c r="F278" s="323"/>
      <c r="G278" s="324"/>
      <c r="H278" s="324" t="s">
        <v>103</v>
      </c>
      <c r="I278" s="325" t="s">
        <v>99</v>
      </c>
      <c r="K278" s="247"/>
      <c r="L278" s="247"/>
    </row>
    <row r="279">
      <c r="A279" s="259"/>
      <c r="B279" s="260"/>
      <c r="C279" s="260"/>
      <c r="D279" s="277" t="s">
        <v>186</v>
      </c>
      <c r="E279" s="457">
        <v>1.0</v>
      </c>
      <c r="F279" s="395"/>
      <c r="G279" s="458"/>
      <c r="H279" s="459" t="s">
        <v>188</v>
      </c>
      <c r="I279" s="396" t="s">
        <v>187</v>
      </c>
      <c r="K279" s="247"/>
      <c r="L279" s="247"/>
    </row>
    <row r="280">
      <c r="A280" s="326" t="s">
        <v>433</v>
      </c>
      <c r="B280" s="327" t="s">
        <v>434</v>
      </c>
      <c r="C280" s="460">
        <f>sum(E280:E284)</f>
        <v>10</v>
      </c>
      <c r="D280" s="251" t="s">
        <v>23</v>
      </c>
      <c r="E280" s="251">
        <v>2.0</v>
      </c>
      <c r="F280" s="256"/>
      <c r="G280" s="253"/>
      <c r="H280" s="254" t="s">
        <v>308</v>
      </c>
      <c r="I280" s="255" t="s">
        <v>24</v>
      </c>
      <c r="K280" s="247"/>
      <c r="L280" s="247"/>
    </row>
    <row r="281">
      <c r="A281" s="248"/>
      <c r="D281" s="251" t="s">
        <v>291</v>
      </c>
      <c r="E281" s="251">
        <v>2.0</v>
      </c>
      <c r="F281" s="257"/>
      <c r="G281" s="258"/>
      <c r="H281" s="254" t="s">
        <v>284</v>
      </c>
      <c r="I281" s="255" t="s">
        <v>66</v>
      </c>
      <c r="K281" s="247"/>
      <c r="L281" s="247"/>
    </row>
    <row r="282">
      <c r="A282" s="248"/>
      <c r="D282" s="251" t="s">
        <v>160</v>
      </c>
      <c r="E282" s="251">
        <v>1.0</v>
      </c>
      <c r="F282" s="306"/>
      <c r="G282" s="306"/>
      <c r="H282" s="254" t="s">
        <v>161</v>
      </c>
      <c r="I282" s="287" t="s">
        <v>145</v>
      </c>
      <c r="K282" s="247"/>
      <c r="L282" s="247"/>
    </row>
    <row r="283">
      <c r="A283" s="248"/>
      <c r="D283" s="251" t="s">
        <v>163</v>
      </c>
      <c r="E283" s="251">
        <v>2.0</v>
      </c>
      <c r="F283" s="256"/>
      <c r="G283" s="253"/>
      <c r="H283" s="254" t="s">
        <v>165</v>
      </c>
      <c r="I283" s="255" t="s">
        <v>164</v>
      </c>
      <c r="K283" s="247"/>
      <c r="L283" s="247"/>
    </row>
    <row r="284">
      <c r="A284" s="259"/>
      <c r="B284" s="260"/>
      <c r="C284" s="260"/>
      <c r="D284" s="357" t="s">
        <v>176</v>
      </c>
      <c r="E284" s="357">
        <v>3.0</v>
      </c>
      <c r="F284" s="253"/>
      <c r="G284" s="253"/>
      <c r="H284" s="254" t="s">
        <v>290</v>
      </c>
      <c r="I284" s="255" t="s">
        <v>177</v>
      </c>
      <c r="K284" s="247"/>
      <c r="L284" s="247"/>
    </row>
    <row r="285">
      <c r="A285" s="261" t="s">
        <v>435</v>
      </c>
      <c r="B285" s="262" t="s">
        <v>436</v>
      </c>
      <c r="C285" s="263">
        <f>sum(E285:E288)</f>
        <v>10</v>
      </c>
      <c r="D285" s="264" t="s">
        <v>23</v>
      </c>
      <c r="E285" s="264">
        <v>2.0</v>
      </c>
      <c r="F285" s="374"/>
      <c r="G285" s="305"/>
      <c r="H285" s="285" t="s">
        <v>308</v>
      </c>
      <c r="I285" s="286" t="s">
        <v>24</v>
      </c>
      <c r="K285" s="247"/>
      <c r="L285" s="247"/>
    </row>
    <row r="286">
      <c r="A286" s="248"/>
      <c r="D286" s="251" t="s">
        <v>144</v>
      </c>
      <c r="E286" s="251">
        <v>5.0</v>
      </c>
      <c r="F286" s="306"/>
      <c r="G286" s="306"/>
      <c r="H286" s="293" t="s">
        <v>146</v>
      </c>
      <c r="I286" s="287" t="s">
        <v>145</v>
      </c>
      <c r="K286" s="247"/>
      <c r="L286" s="247"/>
    </row>
    <row r="287">
      <c r="A287" s="248"/>
      <c r="D287" s="251" t="s">
        <v>163</v>
      </c>
      <c r="E287" s="251">
        <v>2.0</v>
      </c>
      <c r="F287" s="256"/>
      <c r="G287" s="253"/>
      <c r="H287" s="254" t="s">
        <v>165</v>
      </c>
      <c r="I287" s="255" t="s">
        <v>164</v>
      </c>
      <c r="K287" s="247"/>
      <c r="L287" s="247"/>
    </row>
    <row r="288">
      <c r="A288" s="259"/>
      <c r="B288" s="260"/>
      <c r="C288" s="260"/>
      <c r="D288" s="277" t="s">
        <v>118</v>
      </c>
      <c r="E288" s="277">
        <v>1.0</v>
      </c>
      <c r="F288" s="316"/>
      <c r="G288" s="316"/>
      <c r="H288" s="280" t="s">
        <v>323</v>
      </c>
      <c r="I288" s="281" t="s">
        <v>106</v>
      </c>
      <c r="K288" s="247"/>
      <c r="L288" s="247"/>
    </row>
    <row r="289">
      <c r="A289" s="261" t="s">
        <v>437</v>
      </c>
      <c r="B289" s="262" t="s">
        <v>438</v>
      </c>
      <c r="C289" s="263">
        <f>sum(E289:E294)</f>
        <v>10</v>
      </c>
      <c r="D289" s="264" t="s">
        <v>59</v>
      </c>
      <c r="E289" s="264">
        <v>1.0</v>
      </c>
      <c r="F289" s="264"/>
      <c r="G289" s="264"/>
      <c r="H289" s="266" t="s">
        <v>60</v>
      </c>
      <c r="I289" s="286" t="s">
        <v>44</v>
      </c>
      <c r="K289" s="247"/>
      <c r="L289" s="247"/>
    </row>
    <row r="290">
      <c r="A290" s="248"/>
      <c r="D290" s="251" t="s">
        <v>12</v>
      </c>
      <c r="E290" s="251">
        <v>2.0</v>
      </c>
      <c r="F290" s="364"/>
      <c r="G290" s="364"/>
      <c r="H290" s="293" t="s">
        <v>349</v>
      </c>
      <c r="I290" s="255" t="s">
        <v>8</v>
      </c>
      <c r="K290" s="247"/>
      <c r="L290" s="247"/>
    </row>
    <row r="291">
      <c r="A291" s="248"/>
      <c r="D291" s="306" t="s">
        <v>98</v>
      </c>
      <c r="E291" s="306">
        <v>2.0</v>
      </c>
      <c r="F291" s="274"/>
      <c r="G291" s="274"/>
      <c r="H291" s="275" t="s">
        <v>100</v>
      </c>
      <c r="I291" s="255" t="s">
        <v>99</v>
      </c>
      <c r="K291" s="247"/>
      <c r="L291" s="247"/>
    </row>
    <row r="292">
      <c r="A292" s="248"/>
      <c r="D292" s="358" t="s">
        <v>151</v>
      </c>
      <c r="E292" s="358">
        <v>2.0</v>
      </c>
      <c r="F292" s="359"/>
      <c r="G292" s="359"/>
      <c r="H292" s="359" t="s">
        <v>152</v>
      </c>
      <c r="I292" s="360" t="s">
        <v>145</v>
      </c>
      <c r="K292" s="247"/>
      <c r="L292" s="247"/>
    </row>
    <row r="293">
      <c r="A293" s="248"/>
      <c r="D293" s="251" t="s">
        <v>163</v>
      </c>
      <c r="E293" s="251">
        <v>2.0</v>
      </c>
      <c r="F293" s="256"/>
      <c r="G293" s="252"/>
      <c r="H293" s="294" t="s">
        <v>165</v>
      </c>
      <c r="I293" s="255" t="s">
        <v>164</v>
      </c>
      <c r="K293" s="247"/>
      <c r="L293" s="247"/>
    </row>
    <row r="294">
      <c r="A294" s="259"/>
      <c r="B294" s="260"/>
      <c r="C294" s="260"/>
      <c r="D294" s="277" t="s">
        <v>135</v>
      </c>
      <c r="E294" s="277">
        <v>1.0</v>
      </c>
      <c r="F294" s="315"/>
      <c r="G294" s="316"/>
      <c r="H294" s="280" t="s">
        <v>136</v>
      </c>
      <c r="I294" s="281" t="s">
        <v>106</v>
      </c>
      <c r="K294" s="247"/>
      <c r="L294" s="247"/>
    </row>
    <row r="295">
      <c r="A295" s="261" t="s">
        <v>439</v>
      </c>
      <c r="B295" s="262" t="s">
        <v>440</v>
      </c>
      <c r="C295" s="263">
        <f>sum(E295:E299)</f>
        <v>10</v>
      </c>
      <c r="D295" s="304" t="s">
        <v>176</v>
      </c>
      <c r="E295" s="304">
        <v>3.0</v>
      </c>
      <c r="F295" s="305"/>
      <c r="G295" s="305"/>
      <c r="H295" s="285" t="s">
        <v>290</v>
      </c>
      <c r="I295" s="286" t="s">
        <v>177</v>
      </c>
      <c r="K295" s="247"/>
      <c r="L295" s="247"/>
    </row>
    <row r="296">
      <c r="A296" s="248"/>
      <c r="D296" s="251" t="s">
        <v>406</v>
      </c>
      <c r="E296" s="251">
        <v>3.0</v>
      </c>
      <c r="F296" s="252"/>
      <c r="G296" s="253"/>
      <c r="H296" s="254" t="s">
        <v>32</v>
      </c>
      <c r="I296" s="336" t="s">
        <v>31</v>
      </c>
      <c r="K296" s="247"/>
      <c r="L296" s="247"/>
    </row>
    <row r="297">
      <c r="A297" s="248"/>
      <c r="D297" s="251" t="s">
        <v>132</v>
      </c>
      <c r="E297" s="251">
        <v>1.0</v>
      </c>
      <c r="F297" s="252"/>
      <c r="G297" s="253"/>
      <c r="H297" s="254" t="s">
        <v>133</v>
      </c>
      <c r="I297" s="255" t="s">
        <v>106</v>
      </c>
      <c r="K297" s="247"/>
      <c r="L297" s="247"/>
    </row>
    <row r="298">
      <c r="A298" s="248"/>
      <c r="D298" s="251" t="s">
        <v>291</v>
      </c>
      <c r="E298" s="251">
        <v>2.0</v>
      </c>
      <c r="F298" s="257"/>
      <c r="G298" s="258"/>
      <c r="H298" s="254" t="s">
        <v>284</v>
      </c>
      <c r="I298" s="255" t="s">
        <v>66</v>
      </c>
      <c r="K298" s="247"/>
      <c r="L298" s="247"/>
    </row>
    <row r="299">
      <c r="A299" s="259"/>
      <c r="B299" s="260"/>
      <c r="C299" s="260"/>
      <c r="D299" s="277" t="s">
        <v>160</v>
      </c>
      <c r="E299" s="277">
        <v>1.0</v>
      </c>
      <c r="F299" s="299"/>
      <c r="G299" s="299"/>
      <c r="H299" s="280" t="s">
        <v>161</v>
      </c>
      <c r="I299" s="301" t="s">
        <v>145</v>
      </c>
      <c r="K299" s="247"/>
      <c r="L299" s="247"/>
    </row>
    <row r="300">
      <c r="A300" s="261" t="s">
        <v>441</v>
      </c>
      <c r="B300" s="262" t="s">
        <v>442</v>
      </c>
      <c r="C300" s="263">
        <f>sum(E300:E304)</f>
        <v>10</v>
      </c>
      <c r="D300" s="264" t="s">
        <v>65</v>
      </c>
      <c r="E300" s="264">
        <v>3.0</v>
      </c>
      <c r="F300" s="283"/>
      <c r="G300" s="284"/>
      <c r="H300" s="285" t="s">
        <v>284</v>
      </c>
      <c r="I300" s="286" t="s">
        <v>66</v>
      </c>
      <c r="K300" s="247"/>
      <c r="L300" s="247"/>
    </row>
    <row r="301">
      <c r="A301" s="248"/>
      <c r="D301" s="251" t="s">
        <v>331</v>
      </c>
      <c r="E301" s="251">
        <v>2.0</v>
      </c>
      <c r="F301" s="252"/>
      <c r="G301" s="253"/>
      <c r="H301" s="254" t="s">
        <v>332</v>
      </c>
      <c r="I301" s="255" t="s">
        <v>8</v>
      </c>
      <c r="K301" s="247"/>
      <c r="L301" s="247"/>
    </row>
    <row r="302">
      <c r="A302" s="248"/>
      <c r="D302" s="321" t="s">
        <v>102</v>
      </c>
      <c r="E302" s="322">
        <v>2.0</v>
      </c>
      <c r="F302" s="323"/>
      <c r="G302" s="324"/>
      <c r="H302" s="324" t="s">
        <v>103</v>
      </c>
      <c r="I302" s="325" t="s">
        <v>99</v>
      </c>
      <c r="K302" s="247"/>
      <c r="L302" s="247"/>
    </row>
    <row r="303">
      <c r="A303" s="248"/>
      <c r="D303" s="249" t="s">
        <v>183</v>
      </c>
      <c r="E303" s="244">
        <v>2.0</v>
      </c>
      <c r="F303" s="172"/>
      <c r="G303" s="173"/>
      <c r="H303" s="173" t="s">
        <v>184</v>
      </c>
      <c r="I303" s="246" t="s">
        <v>177</v>
      </c>
      <c r="K303" s="247"/>
      <c r="L303" s="247"/>
    </row>
    <row r="304">
      <c r="A304" s="259"/>
      <c r="B304" s="260"/>
      <c r="C304" s="260"/>
      <c r="D304" s="452" t="s">
        <v>190</v>
      </c>
      <c r="E304" s="461">
        <v>1.0</v>
      </c>
      <c r="F304" s="462"/>
      <c r="G304" s="463"/>
      <c r="H304" s="464" t="s">
        <v>191</v>
      </c>
      <c r="I304" s="465" t="s">
        <v>187</v>
      </c>
      <c r="K304" s="247"/>
      <c r="L304" s="247"/>
    </row>
    <row r="305">
      <c r="A305" s="261" t="s">
        <v>443</v>
      </c>
      <c r="B305" s="262" t="s">
        <v>444</v>
      </c>
      <c r="C305" s="263">
        <f>sum(E305:AC309)</f>
        <v>10</v>
      </c>
      <c r="D305" s="264" t="s">
        <v>406</v>
      </c>
      <c r="E305" s="264">
        <v>3.0</v>
      </c>
      <c r="F305" s="330"/>
      <c r="G305" s="305"/>
      <c r="H305" s="285" t="s">
        <v>32</v>
      </c>
      <c r="I305" s="428" t="s">
        <v>31</v>
      </c>
      <c r="K305" s="247"/>
      <c r="L305" s="247"/>
    </row>
    <row r="306">
      <c r="A306" s="248"/>
      <c r="D306" s="251" t="s">
        <v>148</v>
      </c>
      <c r="E306" s="251">
        <v>3.0</v>
      </c>
      <c r="F306" s="306"/>
      <c r="G306" s="306"/>
      <c r="H306" s="293" t="s">
        <v>146</v>
      </c>
      <c r="I306" s="287" t="s">
        <v>145</v>
      </c>
      <c r="K306" s="247"/>
      <c r="L306" s="247"/>
    </row>
    <row r="307">
      <c r="A307" s="248"/>
      <c r="D307" s="361" t="s">
        <v>124</v>
      </c>
      <c r="E307" s="362">
        <v>1.0</v>
      </c>
      <c r="F307" s="105"/>
      <c r="G307" s="114"/>
      <c r="H307" s="114" t="s">
        <v>125</v>
      </c>
      <c r="I307" s="255" t="s">
        <v>106</v>
      </c>
      <c r="K307" s="247"/>
      <c r="L307" s="247"/>
    </row>
    <row r="308">
      <c r="A308" s="248"/>
      <c r="D308" s="251" t="s">
        <v>132</v>
      </c>
      <c r="E308" s="251">
        <v>1.0</v>
      </c>
      <c r="F308" s="252"/>
      <c r="G308" s="253"/>
      <c r="H308" s="254" t="s">
        <v>133</v>
      </c>
      <c r="I308" s="255" t="s">
        <v>106</v>
      </c>
      <c r="K308" s="247"/>
      <c r="L308" s="247"/>
    </row>
    <row r="309">
      <c r="A309" s="259"/>
      <c r="B309" s="260"/>
      <c r="C309" s="260"/>
      <c r="D309" s="277" t="s">
        <v>163</v>
      </c>
      <c r="E309" s="277">
        <v>2.0</v>
      </c>
      <c r="F309" s="365"/>
      <c r="G309" s="315"/>
      <c r="H309" s="466" t="s">
        <v>165</v>
      </c>
      <c r="I309" s="281" t="s">
        <v>164</v>
      </c>
      <c r="K309" s="247"/>
      <c r="L309" s="247"/>
    </row>
    <row r="310">
      <c r="A310" s="261" t="s">
        <v>445</v>
      </c>
      <c r="B310" s="262" t="s">
        <v>368</v>
      </c>
      <c r="C310" s="263">
        <f>sum(E310:E314)</f>
        <v>10</v>
      </c>
      <c r="D310" s="264" t="s">
        <v>118</v>
      </c>
      <c r="E310" s="264">
        <v>1.0</v>
      </c>
      <c r="F310" s="305"/>
      <c r="G310" s="305"/>
      <c r="H310" s="285" t="s">
        <v>323</v>
      </c>
      <c r="I310" s="286" t="s">
        <v>106</v>
      </c>
      <c r="K310" s="247"/>
      <c r="L310" s="247"/>
    </row>
    <row r="311">
      <c r="A311" s="248"/>
      <c r="D311" s="321" t="s">
        <v>102</v>
      </c>
      <c r="E311" s="322">
        <v>2.0</v>
      </c>
      <c r="F311" s="323"/>
      <c r="G311" s="324"/>
      <c r="H311" s="324" t="s">
        <v>103</v>
      </c>
      <c r="I311" s="325" t="s">
        <v>99</v>
      </c>
      <c r="K311" s="247"/>
      <c r="L311" s="247"/>
    </row>
    <row r="312">
      <c r="A312" s="248"/>
      <c r="D312" s="249" t="s">
        <v>183</v>
      </c>
      <c r="E312" s="244">
        <v>2.0</v>
      </c>
      <c r="F312" s="172"/>
      <c r="G312" s="173"/>
      <c r="H312" s="173" t="s">
        <v>184</v>
      </c>
      <c r="I312" s="246" t="s">
        <v>177</v>
      </c>
      <c r="K312" s="247"/>
      <c r="L312" s="247"/>
    </row>
    <row r="313">
      <c r="A313" s="248"/>
      <c r="D313" s="251" t="s">
        <v>65</v>
      </c>
      <c r="E313" s="251">
        <v>3.0</v>
      </c>
      <c r="F313" s="257"/>
      <c r="G313" s="258"/>
      <c r="H313" s="254" t="s">
        <v>284</v>
      </c>
      <c r="I313" s="255" t="s">
        <v>66</v>
      </c>
      <c r="K313" s="247"/>
      <c r="L313" s="247"/>
    </row>
    <row r="314">
      <c r="A314" s="259"/>
      <c r="B314" s="260"/>
      <c r="C314" s="260"/>
      <c r="D314" s="277" t="s">
        <v>331</v>
      </c>
      <c r="E314" s="277">
        <v>2.0</v>
      </c>
      <c r="F314" s="315"/>
      <c r="G314" s="316"/>
      <c r="H314" s="280" t="s">
        <v>332</v>
      </c>
      <c r="I314" s="281" t="s">
        <v>8</v>
      </c>
      <c r="K314" s="247"/>
      <c r="L314" s="247"/>
    </row>
    <row r="315">
      <c r="A315" s="261" t="s">
        <v>446</v>
      </c>
      <c r="B315" s="262" t="s">
        <v>447</v>
      </c>
      <c r="C315" s="263">
        <f>sum(E315:E319)</f>
        <v>10</v>
      </c>
      <c r="D315" s="264" t="s">
        <v>331</v>
      </c>
      <c r="E315" s="264">
        <v>2.0</v>
      </c>
      <c r="F315" s="330"/>
      <c r="G315" s="305"/>
      <c r="H315" s="285" t="s">
        <v>332</v>
      </c>
      <c r="I315" s="286" t="s">
        <v>8</v>
      </c>
      <c r="K315" s="247"/>
      <c r="L315" s="247"/>
    </row>
    <row r="316">
      <c r="A316" s="248"/>
      <c r="D316" s="251" t="s">
        <v>23</v>
      </c>
      <c r="E316" s="251">
        <v>2.0</v>
      </c>
      <c r="F316" s="351"/>
      <c r="G316" s="352"/>
      <c r="H316" s="293" t="s">
        <v>308</v>
      </c>
      <c r="I316" s="255" t="s">
        <v>24</v>
      </c>
      <c r="K316" s="247"/>
      <c r="L316" s="247"/>
    </row>
    <row r="317">
      <c r="A317" s="248"/>
      <c r="D317" s="251" t="s">
        <v>448</v>
      </c>
      <c r="E317" s="251">
        <v>2.0</v>
      </c>
      <c r="F317" s="257"/>
      <c r="G317" s="258"/>
      <c r="H317" s="254" t="s">
        <v>284</v>
      </c>
      <c r="I317" s="255" t="s">
        <v>66</v>
      </c>
      <c r="K317" s="247"/>
      <c r="L317" s="247"/>
    </row>
    <row r="318">
      <c r="A318" s="248"/>
      <c r="D318" s="251" t="s">
        <v>163</v>
      </c>
      <c r="E318" s="251">
        <v>2.0</v>
      </c>
      <c r="F318" s="256"/>
      <c r="G318" s="253"/>
      <c r="H318" s="254" t="s">
        <v>165</v>
      </c>
      <c r="I318" s="255" t="s">
        <v>164</v>
      </c>
      <c r="K318" s="247"/>
      <c r="L318" s="247"/>
    </row>
    <row r="319">
      <c r="A319" s="259"/>
      <c r="B319" s="260"/>
      <c r="C319" s="260"/>
      <c r="D319" s="467" t="s">
        <v>183</v>
      </c>
      <c r="E319" s="468">
        <v>2.0</v>
      </c>
      <c r="F319" s="469"/>
      <c r="G319" s="470"/>
      <c r="H319" s="470" t="s">
        <v>184</v>
      </c>
      <c r="I319" s="471" t="s">
        <v>177</v>
      </c>
      <c r="K319" s="247"/>
      <c r="L319" s="247"/>
    </row>
    <row r="320">
      <c r="A320" s="328" t="s">
        <v>449</v>
      </c>
      <c r="B320" s="303" t="s">
        <v>450</v>
      </c>
      <c r="C320" s="263">
        <f>sum(E320:E325)</f>
        <v>10</v>
      </c>
      <c r="D320" s="264" t="s">
        <v>12</v>
      </c>
      <c r="E320" s="264">
        <v>2.0</v>
      </c>
      <c r="F320" s="406"/>
      <c r="G320" s="406"/>
      <c r="H320" s="266" t="s">
        <v>349</v>
      </c>
      <c r="I320" s="286" t="s">
        <v>8</v>
      </c>
      <c r="K320" s="247"/>
      <c r="L320" s="247"/>
    </row>
    <row r="321">
      <c r="A321" s="248"/>
      <c r="D321" s="472" t="s">
        <v>7</v>
      </c>
      <c r="E321" s="472">
        <v>2.0</v>
      </c>
      <c r="F321" s="12"/>
      <c r="G321" s="14"/>
      <c r="H321" s="14" t="s">
        <v>9</v>
      </c>
      <c r="I321" s="473" t="s">
        <v>8</v>
      </c>
      <c r="K321" s="247"/>
      <c r="L321" s="247"/>
    </row>
    <row r="322">
      <c r="A322" s="248"/>
      <c r="D322" s="251" t="s">
        <v>23</v>
      </c>
      <c r="E322" s="251">
        <v>2.0</v>
      </c>
      <c r="F322" s="256"/>
      <c r="G322" s="253"/>
      <c r="H322" s="254" t="s">
        <v>308</v>
      </c>
      <c r="I322" s="255" t="s">
        <v>24</v>
      </c>
      <c r="K322" s="247"/>
      <c r="L322" s="247"/>
    </row>
    <row r="323">
      <c r="A323" s="248"/>
      <c r="D323" s="334" t="s">
        <v>40</v>
      </c>
      <c r="E323" s="335">
        <v>1.0</v>
      </c>
      <c r="F323" s="39"/>
      <c r="G323" s="41"/>
      <c r="H323" s="41" t="s">
        <v>41</v>
      </c>
      <c r="I323" s="336" t="s">
        <v>31</v>
      </c>
      <c r="K323" s="247"/>
      <c r="L323" s="247"/>
    </row>
    <row r="324">
      <c r="A324" s="248"/>
      <c r="D324" s="251" t="s">
        <v>160</v>
      </c>
      <c r="E324" s="251">
        <v>1.0</v>
      </c>
      <c r="F324" s="306"/>
      <c r="G324" s="306"/>
      <c r="H324" s="254" t="s">
        <v>161</v>
      </c>
      <c r="I324" s="287" t="s">
        <v>145</v>
      </c>
      <c r="K324" s="247"/>
      <c r="L324" s="247"/>
    </row>
    <row r="325">
      <c r="A325" s="259"/>
      <c r="B325" s="260"/>
      <c r="C325" s="260"/>
      <c r="D325" s="277" t="s">
        <v>163</v>
      </c>
      <c r="E325" s="277">
        <v>2.0</v>
      </c>
      <c r="F325" s="365"/>
      <c r="G325" s="316"/>
      <c r="H325" s="280" t="s">
        <v>165</v>
      </c>
      <c r="I325" s="281" t="s">
        <v>164</v>
      </c>
      <c r="K325" s="247"/>
      <c r="L325" s="247"/>
    </row>
    <row r="326">
      <c r="A326" s="261" t="s">
        <v>451</v>
      </c>
      <c r="B326" s="262" t="s">
        <v>452</v>
      </c>
      <c r="C326" s="263">
        <f>sum(E326:E332)</f>
        <v>10</v>
      </c>
      <c r="D326" s="264" t="s">
        <v>331</v>
      </c>
      <c r="E326" s="264">
        <v>2.0</v>
      </c>
      <c r="F326" s="330"/>
      <c r="G326" s="305"/>
      <c r="H326" s="285" t="s">
        <v>332</v>
      </c>
      <c r="I326" s="286" t="s">
        <v>8</v>
      </c>
      <c r="K326" s="247"/>
      <c r="L326" s="247"/>
    </row>
    <row r="327">
      <c r="A327" s="248"/>
      <c r="D327" s="321" t="s">
        <v>102</v>
      </c>
      <c r="E327" s="322">
        <v>2.0</v>
      </c>
      <c r="F327" s="323"/>
      <c r="G327" s="324"/>
      <c r="H327" s="324" t="s">
        <v>103</v>
      </c>
      <c r="I327" s="325" t="s">
        <v>99</v>
      </c>
    </row>
    <row r="328">
      <c r="A328" s="248"/>
      <c r="D328" s="334" t="s">
        <v>40</v>
      </c>
      <c r="E328" s="335">
        <v>1.0</v>
      </c>
      <c r="F328" s="39"/>
      <c r="G328" s="41"/>
      <c r="H328" s="41" t="s">
        <v>41</v>
      </c>
      <c r="I328" s="336" t="s">
        <v>31</v>
      </c>
    </row>
    <row r="329">
      <c r="A329" s="248"/>
      <c r="D329" s="251" t="s">
        <v>291</v>
      </c>
      <c r="E329" s="251">
        <v>2.0</v>
      </c>
      <c r="F329" s="257"/>
      <c r="G329" s="258"/>
      <c r="H329" s="254" t="s">
        <v>284</v>
      </c>
      <c r="I329" s="255" t="s">
        <v>66</v>
      </c>
    </row>
    <row r="330">
      <c r="A330" s="248"/>
      <c r="D330" s="429" t="s">
        <v>95</v>
      </c>
      <c r="E330" s="430">
        <v>1.0</v>
      </c>
      <c r="F330" s="431"/>
      <c r="G330" s="431"/>
      <c r="H330" s="431" t="s">
        <v>96</v>
      </c>
      <c r="I330" s="432" t="s">
        <v>66</v>
      </c>
    </row>
    <row r="331">
      <c r="A331" s="248"/>
      <c r="D331" s="474" t="s">
        <v>112</v>
      </c>
      <c r="E331" s="474">
        <v>1.0</v>
      </c>
      <c r="F331" s="105"/>
      <c r="G331" s="103"/>
      <c r="H331" s="103" t="s">
        <v>113</v>
      </c>
      <c r="I331" s="475" t="s">
        <v>106</v>
      </c>
    </row>
    <row r="332">
      <c r="A332" s="259"/>
      <c r="B332" s="260"/>
      <c r="C332" s="260"/>
      <c r="D332" s="277" t="s">
        <v>173</v>
      </c>
      <c r="E332" s="277">
        <v>1.0</v>
      </c>
      <c r="F332" s="315"/>
      <c r="G332" s="316"/>
      <c r="H332" s="280" t="s">
        <v>422</v>
      </c>
      <c r="I332" s="281" t="s">
        <v>164</v>
      </c>
    </row>
    <row r="333">
      <c r="A333" s="328" t="s">
        <v>453</v>
      </c>
      <c r="B333" s="476" t="s">
        <v>454</v>
      </c>
      <c r="C333" s="263">
        <f>sum(E333:E339)</f>
        <v>10</v>
      </c>
      <c r="D333" s="264" t="s">
        <v>59</v>
      </c>
      <c r="E333" s="264">
        <v>1.0</v>
      </c>
      <c r="F333" s="264"/>
      <c r="G333" s="264"/>
      <c r="H333" s="266" t="s">
        <v>60</v>
      </c>
      <c r="I333" s="286" t="s">
        <v>44</v>
      </c>
    </row>
    <row r="334">
      <c r="A334" s="248"/>
      <c r="D334" s="251" t="s">
        <v>406</v>
      </c>
      <c r="E334" s="251">
        <v>3.0</v>
      </c>
      <c r="F334" s="252"/>
      <c r="G334" s="253"/>
      <c r="H334" s="254" t="s">
        <v>32</v>
      </c>
      <c r="I334" s="336" t="s">
        <v>31</v>
      </c>
    </row>
    <row r="335">
      <c r="A335" s="248"/>
      <c r="D335" s="251" t="s">
        <v>291</v>
      </c>
      <c r="E335" s="251">
        <v>2.0</v>
      </c>
      <c r="F335" s="257"/>
      <c r="G335" s="258"/>
      <c r="H335" s="254" t="s">
        <v>284</v>
      </c>
      <c r="I335" s="255" t="s">
        <v>66</v>
      </c>
    </row>
    <row r="336">
      <c r="A336" s="248"/>
      <c r="D336" s="251" t="s">
        <v>121</v>
      </c>
      <c r="E336" s="251">
        <v>1.0</v>
      </c>
      <c r="F336" s="364"/>
      <c r="G336" s="364"/>
      <c r="H336" s="293" t="s">
        <v>328</v>
      </c>
      <c r="I336" s="255" t="s">
        <v>106</v>
      </c>
    </row>
    <row r="337">
      <c r="A337" s="248"/>
      <c r="D337" s="361" t="s">
        <v>138</v>
      </c>
      <c r="E337" s="362">
        <v>1.0</v>
      </c>
      <c r="F337" s="105"/>
      <c r="G337" s="114"/>
      <c r="H337" s="363" t="s">
        <v>139</v>
      </c>
      <c r="I337" s="355" t="s">
        <v>106</v>
      </c>
    </row>
    <row r="338">
      <c r="A338" s="248"/>
      <c r="D338" s="251" t="s">
        <v>118</v>
      </c>
      <c r="E338" s="251">
        <v>1.0</v>
      </c>
      <c r="F338" s="253"/>
      <c r="G338" s="253"/>
      <c r="H338" s="254" t="s">
        <v>323</v>
      </c>
      <c r="I338" s="255" t="s">
        <v>106</v>
      </c>
    </row>
    <row r="339">
      <c r="A339" s="259"/>
      <c r="B339" s="260"/>
      <c r="C339" s="260"/>
      <c r="D339" s="477" t="s">
        <v>170</v>
      </c>
      <c r="E339" s="477">
        <v>1.0</v>
      </c>
      <c r="F339" s="478"/>
      <c r="G339" s="479"/>
      <c r="H339" s="479" t="s">
        <v>171</v>
      </c>
      <c r="I339" s="480" t="s">
        <v>164</v>
      </c>
    </row>
    <row r="340">
      <c r="A340" s="261" t="s">
        <v>455</v>
      </c>
      <c r="B340" s="476" t="s">
        <v>456</v>
      </c>
      <c r="C340" s="263">
        <f>sum(E340:E345)</f>
        <v>10</v>
      </c>
      <c r="D340" s="481" t="s">
        <v>40</v>
      </c>
      <c r="E340" s="482">
        <v>1.0</v>
      </c>
      <c r="F340" s="483"/>
      <c r="G340" s="484"/>
      <c r="H340" s="484" t="s">
        <v>41</v>
      </c>
      <c r="I340" s="428" t="s">
        <v>31</v>
      </c>
    </row>
    <row r="341">
      <c r="A341" s="248"/>
      <c r="D341" s="251" t="s">
        <v>23</v>
      </c>
      <c r="E341" s="251">
        <v>2.0</v>
      </c>
      <c r="F341" s="351"/>
      <c r="G341" s="352"/>
      <c r="H341" s="293" t="s">
        <v>308</v>
      </c>
      <c r="I341" s="255" t="s">
        <v>24</v>
      </c>
    </row>
    <row r="342">
      <c r="A342" s="248"/>
      <c r="D342" s="295" t="s">
        <v>83</v>
      </c>
      <c r="E342" s="295">
        <v>1.0</v>
      </c>
      <c r="F342" s="485"/>
      <c r="G342" s="72" t="s">
        <v>84</v>
      </c>
      <c r="H342" s="72" t="s">
        <v>84</v>
      </c>
      <c r="I342" s="297" t="s">
        <v>66</v>
      </c>
    </row>
    <row r="343">
      <c r="A343" s="248"/>
      <c r="D343" s="321" t="s">
        <v>102</v>
      </c>
      <c r="E343" s="322">
        <v>2.0</v>
      </c>
      <c r="F343" s="323"/>
      <c r="G343" s="324"/>
      <c r="H343" s="324" t="s">
        <v>103</v>
      </c>
      <c r="I343" s="325" t="s">
        <v>99</v>
      </c>
    </row>
    <row r="344">
      <c r="A344" s="248"/>
      <c r="D344" s="306" t="s">
        <v>157</v>
      </c>
      <c r="E344" s="306">
        <v>2.0</v>
      </c>
      <c r="F344" s="274"/>
      <c r="G344" s="274"/>
      <c r="H344" s="275" t="s">
        <v>158</v>
      </c>
      <c r="I344" s="287" t="s">
        <v>145</v>
      </c>
    </row>
    <row r="345">
      <c r="A345" s="259"/>
      <c r="B345" s="260"/>
      <c r="C345" s="260"/>
      <c r="D345" s="277" t="s">
        <v>167</v>
      </c>
      <c r="E345" s="277">
        <v>2.0</v>
      </c>
      <c r="F345" s="299"/>
      <c r="G345" s="299"/>
      <c r="H345" s="300" t="s">
        <v>168</v>
      </c>
      <c r="I345" s="281" t="s">
        <v>164</v>
      </c>
    </row>
    <row r="346">
      <c r="A346" s="486" t="s">
        <v>457</v>
      </c>
      <c r="B346" s="487" t="s">
        <v>458</v>
      </c>
      <c r="C346" s="263">
        <f>sum(E346:E351)</f>
        <v>10</v>
      </c>
      <c r="D346" s="251" t="s">
        <v>331</v>
      </c>
      <c r="E346" s="251">
        <v>2.0</v>
      </c>
      <c r="F346" s="252"/>
      <c r="G346" s="253"/>
      <c r="H346" s="254" t="s">
        <v>332</v>
      </c>
      <c r="I346" s="255" t="s">
        <v>8</v>
      </c>
    </row>
    <row r="347">
      <c r="D347" s="288" t="s">
        <v>190</v>
      </c>
      <c r="E347" s="289">
        <v>1.0</v>
      </c>
      <c r="F347" s="12"/>
      <c r="G347" s="290"/>
      <c r="H347" s="291" t="s">
        <v>191</v>
      </c>
      <c r="I347" s="313" t="s">
        <v>187</v>
      </c>
    </row>
    <row r="348">
      <c r="D348" s="251" t="s">
        <v>59</v>
      </c>
      <c r="E348" s="251">
        <v>1.0</v>
      </c>
      <c r="F348" s="251"/>
      <c r="G348" s="251"/>
      <c r="H348" s="293" t="s">
        <v>60</v>
      </c>
      <c r="I348" s="255" t="s">
        <v>44</v>
      </c>
    </row>
    <row r="349">
      <c r="D349" s="251" t="s">
        <v>65</v>
      </c>
      <c r="E349" s="251">
        <v>3.0</v>
      </c>
      <c r="F349" s="257"/>
      <c r="G349" s="258"/>
      <c r="H349" s="254" t="s">
        <v>284</v>
      </c>
      <c r="I349" s="255" t="s">
        <v>66</v>
      </c>
    </row>
    <row r="350">
      <c r="D350" s="251" t="s">
        <v>163</v>
      </c>
      <c r="E350" s="251">
        <v>2.0</v>
      </c>
      <c r="F350" s="256"/>
      <c r="G350" s="253"/>
      <c r="H350" s="254" t="s">
        <v>165</v>
      </c>
      <c r="I350" s="311" t="s">
        <v>164</v>
      </c>
    </row>
    <row r="351">
      <c r="D351" s="251" t="s">
        <v>135</v>
      </c>
      <c r="E351" s="251">
        <v>1.0</v>
      </c>
      <c r="F351" s="252"/>
      <c r="G351" s="253"/>
      <c r="H351" s="254" t="s">
        <v>136</v>
      </c>
      <c r="I351" s="255" t="s">
        <v>106</v>
      </c>
    </row>
    <row r="352">
      <c r="A352" s="261" t="s">
        <v>459</v>
      </c>
      <c r="B352" s="262" t="s">
        <v>460</v>
      </c>
      <c r="C352" s="263">
        <f>sum(E352:E357)</f>
        <v>10</v>
      </c>
      <c r="D352" s="264" t="s">
        <v>291</v>
      </c>
      <c r="E352" s="264">
        <v>2.0</v>
      </c>
      <c r="F352" s="283"/>
      <c r="G352" s="284"/>
      <c r="H352" s="285" t="s">
        <v>284</v>
      </c>
      <c r="I352" s="286" t="s">
        <v>66</v>
      </c>
    </row>
    <row r="353">
      <c r="A353" s="248"/>
      <c r="D353" s="251" t="s">
        <v>59</v>
      </c>
      <c r="E353" s="251">
        <v>1.0</v>
      </c>
      <c r="F353" s="251"/>
      <c r="G353" s="251"/>
      <c r="H353" s="293" t="s">
        <v>60</v>
      </c>
      <c r="I353" s="255" t="s">
        <v>44</v>
      </c>
    </row>
    <row r="354">
      <c r="A354" s="248"/>
      <c r="D354" s="306" t="s">
        <v>98</v>
      </c>
      <c r="E354" s="306">
        <v>2.0</v>
      </c>
      <c r="F354" s="274"/>
      <c r="G354" s="274"/>
      <c r="H354" s="275" t="s">
        <v>100</v>
      </c>
      <c r="I354" s="255" t="s">
        <v>99</v>
      </c>
    </row>
    <row r="355">
      <c r="A355" s="248"/>
      <c r="D355" s="251" t="s">
        <v>23</v>
      </c>
      <c r="E355" s="251">
        <v>2.0</v>
      </c>
      <c r="F355" s="256"/>
      <c r="G355" s="253"/>
      <c r="H355" s="254" t="s">
        <v>308</v>
      </c>
      <c r="I355" s="255" t="s">
        <v>24</v>
      </c>
    </row>
    <row r="356">
      <c r="A356" s="248"/>
      <c r="D356" s="251" t="s">
        <v>167</v>
      </c>
      <c r="E356" s="251">
        <v>2.0</v>
      </c>
      <c r="F356" s="306"/>
      <c r="G356" s="306"/>
      <c r="H356" s="293" t="s">
        <v>168</v>
      </c>
      <c r="I356" s="255" t="s">
        <v>164</v>
      </c>
    </row>
    <row r="357">
      <c r="A357" s="259"/>
      <c r="B357" s="260"/>
      <c r="C357" s="260"/>
      <c r="D357" s="277" t="s">
        <v>135</v>
      </c>
      <c r="E357" s="277">
        <v>1.0</v>
      </c>
      <c r="F357" s="315"/>
      <c r="G357" s="316"/>
      <c r="H357" s="280" t="s">
        <v>136</v>
      </c>
      <c r="I357" s="281" t="s">
        <v>106</v>
      </c>
    </row>
    <row r="358">
      <c r="A358" s="261" t="s">
        <v>461</v>
      </c>
      <c r="B358" s="476" t="s">
        <v>412</v>
      </c>
      <c r="C358" s="263">
        <f>sum(E358:E363)</f>
        <v>10</v>
      </c>
      <c r="D358" s="264" t="s">
        <v>331</v>
      </c>
      <c r="E358" s="264">
        <v>2.0</v>
      </c>
      <c r="F358" s="330"/>
      <c r="G358" s="305"/>
      <c r="H358" s="285" t="s">
        <v>332</v>
      </c>
      <c r="I358" s="286" t="s">
        <v>8</v>
      </c>
    </row>
    <row r="359">
      <c r="A359" s="248"/>
      <c r="D359" s="251" t="s">
        <v>291</v>
      </c>
      <c r="E359" s="251">
        <v>2.0</v>
      </c>
      <c r="F359" s="257"/>
      <c r="G359" s="258"/>
      <c r="H359" s="254" t="s">
        <v>284</v>
      </c>
      <c r="I359" s="255" t="s">
        <v>66</v>
      </c>
    </row>
    <row r="360">
      <c r="A360" s="248"/>
      <c r="D360" s="268" t="s">
        <v>180</v>
      </c>
      <c r="E360" s="269">
        <v>3.0</v>
      </c>
      <c r="F360" s="270"/>
      <c r="G360" s="270"/>
      <c r="H360" s="271" t="s">
        <v>181</v>
      </c>
      <c r="I360" s="272" t="s">
        <v>177</v>
      </c>
    </row>
    <row r="361">
      <c r="A361" s="248"/>
      <c r="D361" s="288" t="s">
        <v>190</v>
      </c>
      <c r="E361" s="289">
        <v>1.0</v>
      </c>
      <c r="F361" s="12"/>
      <c r="G361" s="290"/>
      <c r="H361" s="291" t="s">
        <v>191</v>
      </c>
      <c r="I361" s="292" t="s">
        <v>187</v>
      </c>
    </row>
    <row r="362">
      <c r="A362" s="248"/>
      <c r="D362" s="251" t="s">
        <v>135</v>
      </c>
      <c r="E362" s="251">
        <v>1.0</v>
      </c>
      <c r="F362" s="252"/>
      <c r="G362" s="253"/>
      <c r="H362" s="254" t="s">
        <v>136</v>
      </c>
      <c r="I362" s="255" t="s">
        <v>106</v>
      </c>
    </row>
    <row r="363">
      <c r="A363" s="259"/>
      <c r="B363" s="260"/>
      <c r="C363" s="260"/>
      <c r="D363" s="277" t="s">
        <v>127</v>
      </c>
      <c r="E363" s="277">
        <v>1.0</v>
      </c>
      <c r="F363" s="488"/>
      <c r="G363" s="405"/>
      <c r="H363" s="280" t="s">
        <v>128</v>
      </c>
      <c r="I363" s="281" t="s">
        <v>106</v>
      </c>
    </row>
    <row r="364">
      <c r="A364" s="261" t="s">
        <v>451</v>
      </c>
      <c r="B364" s="476" t="s">
        <v>452</v>
      </c>
      <c r="C364" s="263">
        <f>sum(E364:E370)</f>
        <v>10</v>
      </c>
      <c r="D364" s="264" t="s">
        <v>331</v>
      </c>
      <c r="E364" s="264">
        <v>2.0</v>
      </c>
      <c r="F364" s="330"/>
      <c r="G364" s="305"/>
      <c r="H364" s="285" t="s">
        <v>332</v>
      </c>
      <c r="I364" s="286" t="s">
        <v>8</v>
      </c>
    </row>
    <row r="365">
      <c r="A365" s="248"/>
      <c r="D365" s="321" t="s">
        <v>102</v>
      </c>
      <c r="E365" s="322">
        <v>2.0</v>
      </c>
      <c r="F365" s="323"/>
      <c r="G365" s="324"/>
      <c r="H365" s="324" t="s">
        <v>103</v>
      </c>
      <c r="I365" s="325" t="s">
        <v>99</v>
      </c>
    </row>
    <row r="366">
      <c r="A366" s="248"/>
      <c r="D366" s="334" t="s">
        <v>40</v>
      </c>
      <c r="E366" s="335">
        <v>1.0</v>
      </c>
      <c r="F366" s="39"/>
      <c r="G366" s="41"/>
      <c r="H366" s="41" t="s">
        <v>41</v>
      </c>
      <c r="I366" s="336" t="s">
        <v>31</v>
      </c>
    </row>
    <row r="367">
      <c r="A367" s="248"/>
      <c r="D367" s="251" t="s">
        <v>291</v>
      </c>
      <c r="E367" s="251">
        <v>2.0</v>
      </c>
      <c r="F367" s="257"/>
      <c r="G367" s="258"/>
      <c r="H367" s="254" t="s">
        <v>284</v>
      </c>
      <c r="I367" s="255" t="s">
        <v>66</v>
      </c>
    </row>
    <row r="368">
      <c r="A368" s="248"/>
      <c r="D368" s="429" t="s">
        <v>95</v>
      </c>
      <c r="E368" s="430">
        <v>1.0</v>
      </c>
      <c r="F368" s="431"/>
      <c r="G368" s="431"/>
      <c r="H368" s="431" t="s">
        <v>96</v>
      </c>
      <c r="I368" s="432" t="s">
        <v>66</v>
      </c>
    </row>
    <row r="369">
      <c r="A369" s="248"/>
      <c r="D369" s="474" t="s">
        <v>112</v>
      </c>
      <c r="E369" s="474">
        <v>1.0</v>
      </c>
      <c r="F369" s="105"/>
      <c r="G369" s="103"/>
      <c r="H369" s="103" t="s">
        <v>113</v>
      </c>
      <c r="I369" s="475" t="s">
        <v>106</v>
      </c>
    </row>
    <row r="370">
      <c r="A370" s="259"/>
      <c r="B370" s="260"/>
      <c r="C370" s="260"/>
      <c r="D370" s="277" t="s">
        <v>173</v>
      </c>
      <c r="E370" s="277">
        <v>1.0</v>
      </c>
      <c r="F370" s="315"/>
      <c r="G370" s="316"/>
      <c r="H370" s="280" t="s">
        <v>422</v>
      </c>
      <c r="I370" s="281" t="s">
        <v>164</v>
      </c>
    </row>
    <row r="371">
      <c r="A371" s="328" t="s">
        <v>462</v>
      </c>
      <c r="B371" s="476" t="s">
        <v>463</v>
      </c>
      <c r="C371" s="263">
        <f>sum(E371:E376)</f>
        <v>10</v>
      </c>
      <c r="D371" s="264" t="s">
        <v>65</v>
      </c>
      <c r="E371" s="264">
        <v>3.0</v>
      </c>
      <c r="F371" s="283"/>
      <c r="G371" s="284"/>
      <c r="H371" s="285" t="s">
        <v>284</v>
      </c>
      <c r="I371" s="286" t="s">
        <v>66</v>
      </c>
    </row>
    <row r="372">
      <c r="A372" s="248"/>
      <c r="D372" s="306" t="s">
        <v>62</v>
      </c>
      <c r="E372" s="306">
        <v>1.0</v>
      </c>
      <c r="F372" s="274"/>
      <c r="G372" s="274"/>
      <c r="H372" s="275" t="s">
        <v>63</v>
      </c>
      <c r="I372" s="255" t="s">
        <v>44</v>
      </c>
    </row>
    <row r="373">
      <c r="A373" s="248"/>
      <c r="D373" s="249" t="s">
        <v>180</v>
      </c>
      <c r="E373" s="244">
        <v>3.0</v>
      </c>
      <c r="F373" s="172"/>
      <c r="G373" s="173"/>
      <c r="H373" s="250" t="s">
        <v>181</v>
      </c>
      <c r="I373" s="246" t="s">
        <v>177</v>
      </c>
    </row>
    <row r="374">
      <c r="A374" s="248"/>
      <c r="D374" s="251" t="s">
        <v>186</v>
      </c>
      <c r="E374" s="377">
        <v>1.0</v>
      </c>
      <c r="F374" s="3"/>
      <c r="G374" s="378"/>
      <c r="H374" s="379" t="s">
        <v>188</v>
      </c>
      <c r="I374" s="276" t="s">
        <v>187</v>
      </c>
    </row>
    <row r="375">
      <c r="A375" s="248"/>
      <c r="D375" s="251" t="s">
        <v>135</v>
      </c>
      <c r="E375" s="251">
        <v>1.0</v>
      </c>
      <c r="F375" s="252"/>
      <c r="G375" s="253"/>
      <c r="H375" s="254" t="s">
        <v>136</v>
      </c>
      <c r="I375" s="255" t="s">
        <v>106</v>
      </c>
    </row>
    <row r="376">
      <c r="A376" s="259"/>
      <c r="B376" s="260"/>
      <c r="C376" s="260"/>
      <c r="D376" s="489" t="s">
        <v>37</v>
      </c>
      <c r="E376" s="489">
        <v>1.0</v>
      </c>
      <c r="F376" s="490"/>
      <c r="G376" s="491"/>
      <c r="H376" s="492" t="s">
        <v>38</v>
      </c>
      <c r="I376" s="493" t="s">
        <v>31</v>
      </c>
    </row>
    <row r="377">
      <c r="A377" s="261" t="s">
        <v>464</v>
      </c>
      <c r="B377" s="476" t="s">
        <v>465</v>
      </c>
      <c r="C377" s="263">
        <f>sum(E377:E382)</f>
        <v>10</v>
      </c>
      <c r="D377" s="264" t="s">
        <v>167</v>
      </c>
      <c r="E377" s="264">
        <v>2.0</v>
      </c>
      <c r="F377" s="265"/>
      <c r="G377" s="265"/>
      <c r="H377" s="266" t="s">
        <v>168</v>
      </c>
      <c r="I377" s="286" t="s">
        <v>164</v>
      </c>
    </row>
    <row r="378">
      <c r="A378" s="248"/>
      <c r="D378" s="251" t="s">
        <v>127</v>
      </c>
      <c r="E378" s="251">
        <v>1.0</v>
      </c>
      <c r="F378" s="400"/>
      <c r="G378" s="401"/>
      <c r="H378" s="254" t="s">
        <v>128</v>
      </c>
      <c r="I378" s="255" t="s">
        <v>106</v>
      </c>
    </row>
    <row r="379">
      <c r="A379" s="248"/>
      <c r="D379" s="251" t="s">
        <v>331</v>
      </c>
      <c r="E379" s="251">
        <v>2.0</v>
      </c>
      <c r="F379" s="252"/>
      <c r="G379" s="253"/>
      <c r="H379" s="254" t="s">
        <v>332</v>
      </c>
      <c r="I379" s="255" t="s">
        <v>8</v>
      </c>
    </row>
    <row r="380">
      <c r="A380" s="248"/>
      <c r="D380" s="251" t="s">
        <v>291</v>
      </c>
      <c r="E380" s="251">
        <v>2.0</v>
      </c>
      <c r="F380" s="257"/>
      <c r="G380" s="258"/>
      <c r="H380" s="254" t="s">
        <v>284</v>
      </c>
      <c r="I380" s="255" t="s">
        <v>66</v>
      </c>
    </row>
    <row r="381">
      <c r="A381" s="248"/>
      <c r="D381" s="251" t="s">
        <v>160</v>
      </c>
      <c r="E381" s="251">
        <v>1.0</v>
      </c>
      <c r="F381" s="306"/>
      <c r="G381" s="306"/>
      <c r="H381" s="293" t="s">
        <v>146</v>
      </c>
      <c r="I381" s="287" t="s">
        <v>145</v>
      </c>
    </row>
    <row r="382">
      <c r="A382" s="259"/>
      <c r="B382" s="260"/>
      <c r="C382" s="260"/>
      <c r="D382" s="467" t="s">
        <v>183</v>
      </c>
      <c r="E382" s="468">
        <v>2.0</v>
      </c>
      <c r="F382" s="469"/>
      <c r="G382" s="470"/>
      <c r="H382" s="470" t="s">
        <v>184</v>
      </c>
      <c r="I382" s="471" t="s">
        <v>177</v>
      </c>
    </row>
    <row r="383">
      <c r="A383" s="261" t="s">
        <v>466</v>
      </c>
      <c r="B383" s="476" t="s">
        <v>467</v>
      </c>
      <c r="C383" s="263">
        <f>sum(E383:E388)</f>
        <v>10</v>
      </c>
      <c r="D383" s="264" t="s">
        <v>331</v>
      </c>
      <c r="E383" s="264">
        <v>2.0</v>
      </c>
      <c r="F383" s="330"/>
      <c r="G383" s="305"/>
      <c r="H383" s="285" t="s">
        <v>332</v>
      </c>
      <c r="I383" s="286" t="s">
        <v>8</v>
      </c>
    </row>
    <row r="384">
      <c r="A384" s="248"/>
      <c r="D384" s="249" t="s">
        <v>183</v>
      </c>
      <c r="E384" s="244">
        <v>2.0</v>
      </c>
      <c r="F384" s="172"/>
      <c r="G384" s="173"/>
      <c r="H384" s="173" t="s">
        <v>184</v>
      </c>
      <c r="I384" s="246" t="s">
        <v>177</v>
      </c>
    </row>
    <row r="385">
      <c r="A385" s="248"/>
      <c r="D385" s="251" t="s">
        <v>291</v>
      </c>
      <c r="E385" s="251">
        <v>2.0</v>
      </c>
      <c r="F385" s="257"/>
      <c r="G385" s="258"/>
      <c r="H385" s="254" t="s">
        <v>284</v>
      </c>
      <c r="I385" s="255" t="s">
        <v>66</v>
      </c>
    </row>
    <row r="386">
      <c r="A386" s="248"/>
      <c r="D386" s="306" t="s">
        <v>62</v>
      </c>
      <c r="E386" s="306">
        <v>1.0</v>
      </c>
      <c r="F386" s="274"/>
      <c r="G386" s="274"/>
      <c r="H386" s="275" t="s">
        <v>63</v>
      </c>
      <c r="I386" s="255" t="s">
        <v>44</v>
      </c>
    </row>
    <row r="387">
      <c r="A387" s="248"/>
      <c r="D387" s="288" t="s">
        <v>190</v>
      </c>
      <c r="E387" s="289">
        <v>1.0</v>
      </c>
      <c r="F387" s="12"/>
      <c r="G387" s="290"/>
      <c r="H387" s="291" t="s">
        <v>191</v>
      </c>
      <c r="I387" s="292" t="s">
        <v>187</v>
      </c>
    </row>
    <row r="388">
      <c r="A388" s="259"/>
      <c r="B388" s="260"/>
      <c r="C388" s="260"/>
      <c r="D388" s="494" t="s">
        <v>102</v>
      </c>
      <c r="E388" s="495">
        <v>2.0</v>
      </c>
      <c r="F388" s="496"/>
      <c r="G388" s="497"/>
      <c r="H388" s="497" t="s">
        <v>103</v>
      </c>
      <c r="I388" s="498" t="s">
        <v>99</v>
      </c>
    </row>
    <row r="389">
      <c r="A389" s="261" t="s">
        <v>468</v>
      </c>
      <c r="B389" s="262" t="s">
        <v>469</v>
      </c>
      <c r="C389" s="263">
        <f>sum(E389:E394)</f>
        <v>10</v>
      </c>
      <c r="D389" s="499" t="s">
        <v>7</v>
      </c>
      <c r="E389" s="499">
        <v>2.0</v>
      </c>
      <c r="F389" s="500"/>
      <c r="G389" s="501"/>
      <c r="H389" s="501" t="s">
        <v>9</v>
      </c>
      <c r="I389" s="502" t="s">
        <v>8</v>
      </c>
    </row>
    <row r="390">
      <c r="A390" s="248"/>
      <c r="D390" s="295" t="s">
        <v>71</v>
      </c>
      <c r="E390" s="295">
        <v>2.0</v>
      </c>
      <c r="F390" s="70"/>
      <c r="G390" s="72"/>
      <c r="H390" s="296" t="s">
        <v>72</v>
      </c>
      <c r="I390" s="297" t="s">
        <v>66</v>
      </c>
    </row>
    <row r="391">
      <c r="A391" s="248"/>
      <c r="D391" s="251" t="s">
        <v>59</v>
      </c>
      <c r="E391" s="251">
        <v>1.0</v>
      </c>
      <c r="F391" s="251"/>
      <c r="G391" s="251"/>
      <c r="H391" s="293" t="s">
        <v>60</v>
      </c>
      <c r="I391" s="255" t="s">
        <v>44</v>
      </c>
    </row>
    <row r="392">
      <c r="A392" s="248"/>
      <c r="D392" s="288" t="s">
        <v>190</v>
      </c>
      <c r="E392" s="289">
        <v>1.0</v>
      </c>
      <c r="F392" s="12"/>
      <c r="G392" s="290"/>
      <c r="H392" s="291" t="s">
        <v>191</v>
      </c>
      <c r="I392" s="292" t="s">
        <v>187</v>
      </c>
    </row>
    <row r="393">
      <c r="A393" s="248"/>
      <c r="D393" s="251" t="s">
        <v>105</v>
      </c>
      <c r="E393" s="251">
        <v>2.0</v>
      </c>
      <c r="F393" s="364"/>
      <c r="G393" s="364"/>
      <c r="H393" s="293" t="s">
        <v>107</v>
      </c>
      <c r="I393" s="255" t="s">
        <v>106</v>
      </c>
    </row>
    <row r="394">
      <c r="A394" s="259"/>
      <c r="B394" s="260"/>
      <c r="C394" s="260"/>
      <c r="D394" s="299" t="s">
        <v>157</v>
      </c>
      <c r="E394" s="299">
        <v>2.0</v>
      </c>
      <c r="F394" s="372"/>
      <c r="G394" s="372"/>
      <c r="H394" s="373" t="s">
        <v>158</v>
      </c>
      <c r="I394" s="301" t="s">
        <v>145</v>
      </c>
    </row>
    <row r="395">
      <c r="A395" s="302" t="s">
        <v>470</v>
      </c>
      <c r="B395" s="476" t="s">
        <v>347</v>
      </c>
      <c r="C395" s="263">
        <f>sum(E395:E399)</f>
        <v>10</v>
      </c>
      <c r="D395" s="264" t="s">
        <v>331</v>
      </c>
      <c r="E395" s="264">
        <v>2.0</v>
      </c>
      <c r="F395" s="330"/>
      <c r="G395" s="305"/>
      <c r="H395" s="285" t="s">
        <v>332</v>
      </c>
      <c r="I395" s="286" t="s">
        <v>8</v>
      </c>
    </row>
    <row r="396">
      <c r="A396" s="248"/>
      <c r="D396" s="306" t="s">
        <v>62</v>
      </c>
      <c r="E396" s="306">
        <v>1.0</v>
      </c>
      <c r="F396" s="274"/>
      <c r="G396" s="274"/>
      <c r="H396" s="275" t="s">
        <v>63</v>
      </c>
      <c r="I396" s="255" t="s">
        <v>44</v>
      </c>
    </row>
    <row r="397">
      <c r="A397" s="248"/>
      <c r="D397" s="251" t="s">
        <v>65</v>
      </c>
      <c r="E397" s="251">
        <v>3.0</v>
      </c>
      <c r="F397" s="257"/>
      <c r="G397" s="258"/>
      <c r="H397" s="254" t="s">
        <v>284</v>
      </c>
      <c r="I397" s="255" t="s">
        <v>66</v>
      </c>
    </row>
    <row r="398">
      <c r="A398" s="248"/>
      <c r="D398" s="268" t="s">
        <v>180</v>
      </c>
      <c r="E398" s="269">
        <v>3.0</v>
      </c>
      <c r="F398" s="270"/>
      <c r="G398" s="270"/>
      <c r="H398" s="271" t="s">
        <v>181</v>
      </c>
      <c r="I398" s="272" t="s">
        <v>177</v>
      </c>
    </row>
    <row r="399">
      <c r="A399" s="259"/>
      <c r="B399" s="260"/>
      <c r="C399" s="260"/>
      <c r="D399" s="452" t="s">
        <v>190</v>
      </c>
      <c r="E399" s="461">
        <v>1.0</v>
      </c>
      <c r="F399" s="462"/>
      <c r="G399" s="463"/>
      <c r="H399" s="464" t="s">
        <v>191</v>
      </c>
      <c r="I399" s="465" t="s">
        <v>187</v>
      </c>
    </row>
    <row r="400">
      <c r="A400" s="302" t="s">
        <v>471</v>
      </c>
      <c r="B400" s="476" t="s">
        <v>472</v>
      </c>
      <c r="C400" s="263">
        <f>sum(E400:E404)</f>
        <v>10</v>
      </c>
      <c r="D400" s="503" t="s">
        <v>112</v>
      </c>
      <c r="E400" s="503">
        <v>1.0</v>
      </c>
      <c r="F400" s="504"/>
      <c r="G400" s="505"/>
      <c r="H400" s="505" t="s">
        <v>113</v>
      </c>
      <c r="I400" s="506" t="s">
        <v>106</v>
      </c>
    </row>
    <row r="401">
      <c r="A401" s="248"/>
      <c r="D401" s="298" t="s">
        <v>144</v>
      </c>
      <c r="E401" s="251">
        <v>5.0</v>
      </c>
      <c r="F401" s="306"/>
      <c r="G401" s="306"/>
      <c r="H401" s="293" t="s">
        <v>146</v>
      </c>
      <c r="I401" s="287" t="s">
        <v>145</v>
      </c>
    </row>
    <row r="402">
      <c r="A402" s="248"/>
      <c r="D402" s="251" t="s">
        <v>56</v>
      </c>
      <c r="E402" s="251">
        <v>1.0</v>
      </c>
      <c r="F402" s="252"/>
      <c r="G402" s="253"/>
      <c r="H402" s="254" t="s">
        <v>57</v>
      </c>
      <c r="I402" s="255" t="s">
        <v>44</v>
      </c>
    </row>
    <row r="403">
      <c r="A403" s="248"/>
      <c r="D403" s="251" t="s">
        <v>135</v>
      </c>
      <c r="E403" s="251">
        <v>1.0</v>
      </c>
      <c r="F403" s="252"/>
      <c r="G403" s="253"/>
      <c r="H403" s="254" t="s">
        <v>136</v>
      </c>
      <c r="I403" s="255" t="s">
        <v>106</v>
      </c>
    </row>
    <row r="404">
      <c r="A404" s="259"/>
      <c r="B404" s="260"/>
      <c r="C404" s="260"/>
      <c r="D404" s="277" t="s">
        <v>381</v>
      </c>
      <c r="E404" s="277">
        <v>2.0</v>
      </c>
      <c r="F404" s="315"/>
      <c r="G404" s="316"/>
      <c r="H404" s="280" t="s">
        <v>473</v>
      </c>
      <c r="I404" s="281" t="s">
        <v>106</v>
      </c>
    </row>
    <row r="405">
      <c r="A405" s="302" t="s">
        <v>474</v>
      </c>
      <c r="B405" s="476" t="s">
        <v>475</v>
      </c>
      <c r="C405" s="263">
        <f>sum(E405:E409)</f>
        <v>10</v>
      </c>
      <c r="D405" s="264" t="s">
        <v>331</v>
      </c>
      <c r="E405" s="264">
        <v>2.0</v>
      </c>
      <c r="F405" s="330"/>
      <c r="G405" s="305"/>
      <c r="H405" s="285" t="s">
        <v>332</v>
      </c>
      <c r="I405" s="286" t="s">
        <v>8</v>
      </c>
    </row>
    <row r="406">
      <c r="A406" s="248"/>
      <c r="D406" s="249" t="s">
        <v>183</v>
      </c>
      <c r="E406" s="244">
        <v>2.0</v>
      </c>
      <c r="F406" s="172"/>
      <c r="G406" s="173"/>
      <c r="H406" s="173" t="s">
        <v>184</v>
      </c>
      <c r="I406" s="246" t="s">
        <v>177</v>
      </c>
    </row>
    <row r="407">
      <c r="A407" s="248"/>
      <c r="D407" s="251" t="s">
        <v>167</v>
      </c>
      <c r="E407" s="251">
        <v>2.0</v>
      </c>
      <c r="F407" s="306"/>
      <c r="G407" s="306"/>
      <c r="H407" s="293" t="s">
        <v>168</v>
      </c>
      <c r="I407" s="255" t="s">
        <v>164</v>
      </c>
    </row>
    <row r="408">
      <c r="A408" s="248"/>
      <c r="D408" s="251" t="s">
        <v>406</v>
      </c>
      <c r="E408" s="251">
        <v>3.0</v>
      </c>
      <c r="F408" s="252"/>
      <c r="G408" s="253"/>
      <c r="H408" s="254" t="s">
        <v>32</v>
      </c>
      <c r="I408" s="336" t="s">
        <v>31</v>
      </c>
    </row>
    <row r="409">
      <c r="A409" s="259"/>
      <c r="B409" s="260"/>
      <c r="C409" s="260"/>
      <c r="D409" s="277" t="s">
        <v>127</v>
      </c>
      <c r="E409" s="277">
        <v>1.0</v>
      </c>
      <c r="F409" s="488"/>
      <c r="G409" s="405"/>
      <c r="H409" s="280" t="s">
        <v>128</v>
      </c>
      <c r="I409" s="281" t="s">
        <v>106</v>
      </c>
    </row>
    <row r="410">
      <c r="A410" s="328" t="s">
        <v>476</v>
      </c>
      <c r="B410" s="476" t="s">
        <v>330</v>
      </c>
      <c r="C410" s="263">
        <f>sum(E410:E413)</f>
        <v>10</v>
      </c>
      <c r="D410" s="264" t="s">
        <v>65</v>
      </c>
      <c r="E410" s="264">
        <v>3.0</v>
      </c>
      <c r="F410" s="283"/>
      <c r="G410" s="284"/>
      <c r="H410" s="285" t="s">
        <v>284</v>
      </c>
      <c r="I410" s="286" t="s">
        <v>66</v>
      </c>
    </row>
    <row r="411">
      <c r="A411" s="248"/>
      <c r="D411" s="251" t="s">
        <v>163</v>
      </c>
      <c r="E411" s="251">
        <v>2.0</v>
      </c>
      <c r="F411" s="256"/>
      <c r="G411" s="253"/>
      <c r="H411" s="254" t="s">
        <v>165</v>
      </c>
      <c r="I411" s="255" t="s">
        <v>164</v>
      </c>
    </row>
    <row r="412">
      <c r="A412" s="248"/>
      <c r="D412" s="251" t="s">
        <v>331</v>
      </c>
      <c r="E412" s="251">
        <v>2.0</v>
      </c>
      <c r="F412" s="252"/>
      <c r="G412" s="253"/>
      <c r="H412" s="254" t="s">
        <v>332</v>
      </c>
      <c r="I412" s="255" t="s">
        <v>8</v>
      </c>
    </row>
    <row r="413">
      <c r="A413" s="259"/>
      <c r="B413" s="260"/>
      <c r="C413" s="260"/>
      <c r="D413" s="249" t="s">
        <v>180</v>
      </c>
      <c r="E413" s="244">
        <v>3.0</v>
      </c>
      <c r="F413" s="172"/>
      <c r="G413" s="173"/>
      <c r="H413" s="250" t="s">
        <v>181</v>
      </c>
      <c r="I413" s="246" t="s">
        <v>177</v>
      </c>
    </row>
    <row r="414" ht="39.0" customHeight="1">
      <c r="A414" s="507" t="s">
        <v>477</v>
      </c>
      <c r="B414" s="260"/>
      <c r="C414" s="260"/>
      <c r="D414" s="260"/>
      <c r="E414" s="260"/>
      <c r="F414" s="260"/>
      <c r="G414" s="260"/>
      <c r="H414" s="508"/>
      <c r="I414" s="509"/>
      <c r="K414" s="247"/>
      <c r="L414" s="247"/>
    </row>
    <row r="415">
      <c r="A415" s="261" t="s">
        <v>478</v>
      </c>
      <c r="B415" s="262" t="s">
        <v>479</v>
      </c>
      <c r="C415" s="263">
        <f>sum(E415:E418)</f>
        <v>9</v>
      </c>
      <c r="D415" s="510" t="s">
        <v>74</v>
      </c>
      <c r="E415" s="510">
        <v>2.0</v>
      </c>
      <c r="F415" s="63"/>
      <c r="G415" s="65"/>
      <c r="H415" s="65" t="s">
        <v>75</v>
      </c>
      <c r="I415" s="511" t="s">
        <v>66</v>
      </c>
      <c r="K415" s="247"/>
      <c r="L415" s="247"/>
    </row>
    <row r="416">
      <c r="A416" s="248"/>
      <c r="D416" s="251" t="s">
        <v>144</v>
      </c>
      <c r="E416" s="251">
        <v>5.0</v>
      </c>
      <c r="F416" s="306"/>
      <c r="G416" s="306"/>
      <c r="H416" s="293" t="s">
        <v>146</v>
      </c>
      <c r="I416" s="287" t="s">
        <v>145</v>
      </c>
      <c r="K416" s="247"/>
      <c r="L416" s="247"/>
    </row>
    <row r="417">
      <c r="A417" s="248"/>
      <c r="D417" s="251" t="s">
        <v>285</v>
      </c>
      <c r="E417" s="251">
        <v>1.0</v>
      </c>
      <c r="F417" s="257"/>
      <c r="G417" s="258"/>
      <c r="H417" s="254" t="s">
        <v>116</v>
      </c>
      <c r="I417" s="255" t="s">
        <v>106</v>
      </c>
      <c r="K417" s="247"/>
      <c r="L417" s="247"/>
    </row>
    <row r="418">
      <c r="A418" s="259"/>
      <c r="B418" s="260"/>
      <c r="C418" s="260"/>
      <c r="D418" s="277" t="s">
        <v>121</v>
      </c>
      <c r="E418" s="277">
        <v>1.0</v>
      </c>
      <c r="F418" s="308"/>
      <c r="G418" s="308"/>
      <c r="H418" s="300" t="s">
        <v>328</v>
      </c>
      <c r="I418" s="281" t="s">
        <v>106</v>
      </c>
      <c r="K418" s="247"/>
      <c r="L418" s="247"/>
    </row>
    <row r="419">
      <c r="A419" s="328" t="s">
        <v>480</v>
      </c>
      <c r="B419" s="303" t="s">
        <v>481</v>
      </c>
      <c r="C419" s="282">
        <f>sum(E419:E422)</f>
        <v>9</v>
      </c>
      <c r="D419" s="264" t="s">
        <v>144</v>
      </c>
      <c r="E419" s="264">
        <v>5.0</v>
      </c>
      <c r="F419" s="265"/>
      <c r="G419" s="265"/>
      <c r="H419" s="266" t="s">
        <v>146</v>
      </c>
      <c r="I419" s="267" t="s">
        <v>145</v>
      </c>
      <c r="K419" s="247"/>
      <c r="L419" s="247"/>
    </row>
    <row r="420">
      <c r="A420" s="248"/>
      <c r="D420" s="251" t="s">
        <v>163</v>
      </c>
      <c r="E420" s="251">
        <v>2.0</v>
      </c>
      <c r="F420" s="256"/>
      <c r="G420" s="253"/>
      <c r="H420" s="254" t="s">
        <v>165</v>
      </c>
      <c r="I420" s="255" t="s">
        <v>164</v>
      </c>
      <c r="K420" s="247"/>
      <c r="L420" s="247"/>
    </row>
    <row r="421">
      <c r="A421" s="248"/>
      <c r="D421" s="251" t="s">
        <v>285</v>
      </c>
      <c r="E421" s="251">
        <v>1.0</v>
      </c>
      <c r="F421" s="257"/>
      <c r="G421" s="258"/>
      <c r="H421" s="254" t="s">
        <v>116</v>
      </c>
      <c r="I421" s="255" t="s">
        <v>106</v>
      </c>
      <c r="K421" s="247"/>
      <c r="L421" s="247"/>
    </row>
    <row r="422">
      <c r="A422" s="259"/>
      <c r="B422" s="260"/>
      <c r="C422" s="260"/>
      <c r="D422" s="277" t="s">
        <v>118</v>
      </c>
      <c r="E422" s="277">
        <v>1.0</v>
      </c>
      <c r="F422" s="316"/>
      <c r="G422" s="316"/>
      <c r="H422" s="280" t="s">
        <v>323</v>
      </c>
      <c r="I422" s="281" t="s">
        <v>106</v>
      </c>
      <c r="K422" s="247"/>
      <c r="L422" s="247"/>
    </row>
    <row r="423">
      <c r="A423" s="328" t="s">
        <v>482</v>
      </c>
      <c r="B423" s="303" t="s">
        <v>483</v>
      </c>
      <c r="C423" s="263">
        <f>sum(E423:E426)</f>
        <v>9</v>
      </c>
      <c r="D423" s="264" t="s">
        <v>144</v>
      </c>
      <c r="E423" s="264">
        <v>5.0</v>
      </c>
      <c r="F423" s="265"/>
      <c r="G423" s="265"/>
      <c r="H423" s="266" t="s">
        <v>146</v>
      </c>
      <c r="I423" s="267" t="s">
        <v>145</v>
      </c>
      <c r="K423" s="247"/>
      <c r="L423" s="247"/>
    </row>
    <row r="424">
      <c r="A424" s="248"/>
      <c r="D424" s="251" t="s">
        <v>56</v>
      </c>
      <c r="E424" s="251">
        <v>1.0</v>
      </c>
      <c r="F424" s="252"/>
      <c r="G424" s="253"/>
      <c r="H424" s="254" t="s">
        <v>57</v>
      </c>
      <c r="I424" s="255" t="s">
        <v>44</v>
      </c>
      <c r="K424" s="247"/>
      <c r="L424" s="247"/>
    </row>
    <row r="425">
      <c r="A425" s="248"/>
      <c r="D425" s="251" t="s">
        <v>291</v>
      </c>
      <c r="E425" s="251">
        <v>2.0</v>
      </c>
      <c r="F425" s="257"/>
      <c r="G425" s="258"/>
      <c r="H425" s="254" t="s">
        <v>284</v>
      </c>
      <c r="I425" s="255" t="s">
        <v>66</v>
      </c>
      <c r="K425" s="247"/>
      <c r="L425" s="247"/>
    </row>
    <row r="426">
      <c r="A426" s="259"/>
      <c r="B426" s="260"/>
      <c r="C426" s="260"/>
      <c r="D426" s="277" t="s">
        <v>285</v>
      </c>
      <c r="E426" s="277">
        <v>1.0</v>
      </c>
      <c r="F426" s="278"/>
      <c r="G426" s="279"/>
      <c r="H426" s="280" t="s">
        <v>116</v>
      </c>
      <c r="I426" s="281" t="s">
        <v>106</v>
      </c>
      <c r="K426" s="247"/>
      <c r="L426" s="247"/>
    </row>
    <row r="427">
      <c r="A427" s="302" t="s">
        <v>484</v>
      </c>
      <c r="B427" s="262" t="s">
        <v>305</v>
      </c>
      <c r="C427" s="282">
        <f>sum(E427:E432)</f>
        <v>9</v>
      </c>
      <c r="D427" s="264" t="s">
        <v>331</v>
      </c>
      <c r="E427" s="264">
        <v>2.0</v>
      </c>
      <c r="F427" s="330"/>
      <c r="G427" s="305"/>
      <c r="H427" s="285" t="s">
        <v>332</v>
      </c>
      <c r="I427" s="286" t="s">
        <v>8</v>
      </c>
      <c r="K427" s="247"/>
      <c r="L427" s="247"/>
    </row>
    <row r="428">
      <c r="A428" s="248"/>
      <c r="D428" s="251" t="s">
        <v>160</v>
      </c>
      <c r="E428" s="251">
        <v>1.0</v>
      </c>
      <c r="F428" s="306"/>
      <c r="G428" s="306"/>
      <c r="H428" s="254" t="s">
        <v>161</v>
      </c>
      <c r="I428" s="287" t="s">
        <v>145</v>
      </c>
      <c r="K428" s="247"/>
      <c r="L428" s="247"/>
    </row>
    <row r="429">
      <c r="A429" s="248"/>
      <c r="D429" s="251" t="s">
        <v>65</v>
      </c>
      <c r="E429" s="251">
        <v>3.0</v>
      </c>
      <c r="F429" s="257"/>
      <c r="G429" s="258"/>
      <c r="H429" s="254" t="s">
        <v>284</v>
      </c>
      <c r="I429" s="255" t="s">
        <v>66</v>
      </c>
      <c r="K429" s="247"/>
      <c r="L429" s="247"/>
    </row>
    <row r="430">
      <c r="A430" s="248"/>
      <c r="D430" s="251" t="s">
        <v>285</v>
      </c>
      <c r="E430" s="251">
        <v>1.0</v>
      </c>
      <c r="F430" s="257"/>
      <c r="G430" s="258"/>
      <c r="H430" s="254" t="s">
        <v>116</v>
      </c>
      <c r="I430" s="255" t="s">
        <v>106</v>
      </c>
      <c r="K430" s="247"/>
      <c r="L430" s="247"/>
    </row>
    <row r="431">
      <c r="A431" s="248"/>
      <c r="D431" s="251" t="s">
        <v>163</v>
      </c>
      <c r="E431" s="251">
        <v>2.0</v>
      </c>
      <c r="F431" s="256"/>
      <c r="G431" s="253"/>
      <c r="H431" s="254" t="s">
        <v>165</v>
      </c>
      <c r="I431" s="255" t="s">
        <v>164</v>
      </c>
      <c r="K431" s="247"/>
      <c r="L431" s="247"/>
    </row>
    <row r="432">
      <c r="A432" s="259"/>
      <c r="B432" s="260"/>
      <c r="C432" s="260"/>
      <c r="D432" s="314" t="s">
        <v>485</v>
      </c>
      <c r="E432" s="314">
        <v>0.0</v>
      </c>
      <c r="F432" s="315"/>
      <c r="G432" s="316"/>
      <c r="H432" s="512"/>
      <c r="I432" s="513"/>
      <c r="K432" s="247"/>
      <c r="L432" s="247"/>
    </row>
    <row r="433">
      <c r="A433" s="261" t="s">
        <v>486</v>
      </c>
      <c r="B433" s="262" t="s">
        <v>487</v>
      </c>
      <c r="C433" s="263">
        <f>sum(E433:E436)</f>
        <v>9</v>
      </c>
      <c r="D433" s="264" t="s">
        <v>285</v>
      </c>
      <c r="E433" s="264">
        <v>1.0</v>
      </c>
      <c r="F433" s="283"/>
      <c r="G433" s="284"/>
      <c r="H433" s="285" t="s">
        <v>116</v>
      </c>
      <c r="I433" s="286" t="s">
        <v>106</v>
      </c>
      <c r="K433" s="247"/>
      <c r="L433" s="247"/>
    </row>
    <row r="434">
      <c r="A434" s="248"/>
      <c r="D434" s="298" t="s">
        <v>77</v>
      </c>
      <c r="E434" s="298">
        <v>2.0</v>
      </c>
      <c r="F434" s="70"/>
      <c r="G434" s="71"/>
      <c r="H434" s="71" t="s">
        <v>78</v>
      </c>
      <c r="I434" s="307" t="s">
        <v>66</v>
      </c>
      <c r="K434" s="247"/>
      <c r="L434" s="247"/>
    </row>
    <row r="435">
      <c r="A435" s="248"/>
      <c r="D435" s="251" t="s">
        <v>144</v>
      </c>
      <c r="E435" s="251">
        <v>5.0</v>
      </c>
      <c r="F435" s="306"/>
      <c r="G435" s="306"/>
      <c r="H435" s="293" t="s">
        <v>146</v>
      </c>
      <c r="I435" s="287" t="s">
        <v>145</v>
      </c>
      <c r="K435" s="247"/>
      <c r="L435" s="247"/>
    </row>
    <row r="436">
      <c r="A436" s="259"/>
      <c r="B436" s="260"/>
      <c r="C436" s="260"/>
      <c r="D436" s="251" t="s">
        <v>118</v>
      </c>
      <c r="E436" s="251">
        <v>1.0</v>
      </c>
      <c r="F436" s="253"/>
      <c r="G436" s="253"/>
      <c r="H436" s="254" t="s">
        <v>323</v>
      </c>
      <c r="I436" s="255" t="s">
        <v>106</v>
      </c>
      <c r="K436" s="247"/>
      <c r="L436" s="247"/>
    </row>
    <row r="437">
      <c r="A437" s="261" t="s">
        <v>488</v>
      </c>
      <c r="B437" s="262" t="s">
        <v>432</v>
      </c>
      <c r="C437" s="263">
        <f>sum(E437:AC440)</f>
        <v>9</v>
      </c>
      <c r="D437" s="264" t="s">
        <v>65</v>
      </c>
      <c r="E437" s="264">
        <v>3.0</v>
      </c>
      <c r="F437" s="283"/>
      <c r="G437" s="284"/>
      <c r="H437" s="285" t="s">
        <v>284</v>
      </c>
      <c r="I437" s="286" t="s">
        <v>66</v>
      </c>
      <c r="K437" s="247"/>
      <c r="L437" s="247"/>
    </row>
    <row r="438">
      <c r="A438" s="248"/>
      <c r="D438" s="251" t="s">
        <v>148</v>
      </c>
      <c r="E438" s="251">
        <v>3.0</v>
      </c>
      <c r="F438" s="306"/>
      <c r="G438" s="306"/>
      <c r="H438" s="293" t="s">
        <v>146</v>
      </c>
      <c r="I438" s="287" t="s">
        <v>145</v>
      </c>
      <c r="K438" s="247"/>
      <c r="L438" s="247"/>
    </row>
    <row r="439">
      <c r="A439" s="248"/>
      <c r="D439" s="251" t="s">
        <v>163</v>
      </c>
      <c r="E439" s="251">
        <v>2.0</v>
      </c>
      <c r="F439" s="256"/>
      <c r="G439" s="253"/>
      <c r="H439" s="254" t="s">
        <v>165</v>
      </c>
      <c r="I439" s="255" t="s">
        <v>164</v>
      </c>
      <c r="K439" s="247"/>
      <c r="L439" s="247"/>
    </row>
    <row r="440">
      <c r="A440" s="259"/>
      <c r="B440" s="260"/>
      <c r="C440" s="260"/>
      <c r="D440" s="514" t="s">
        <v>285</v>
      </c>
      <c r="E440" s="515">
        <v>1.0</v>
      </c>
      <c r="F440" s="516"/>
      <c r="G440" s="516"/>
      <c r="H440" s="516" t="s">
        <v>116</v>
      </c>
      <c r="I440" s="517" t="s">
        <v>106</v>
      </c>
      <c r="K440" s="247"/>
      <c r="L440" s="247"/>
    </row>
    <row r="441" ht="16.5" customHeight="1">
      <c r="A441" s="261" t="s">
        <v>489</v>
      </c>
      <c r="B441" s="262" t="s">
        <v>490</v>
      </c>
      <c r="C441" s="282">
        <f>sum(E441:E445)</f>
        <v>9</v>
      </c>
      <c r="D441" s="264" t="s">
        <v>59</v>
      </c>
      <c r="E441" s="264">
        <v>1.0</v>
      </c>
      <c r="F441" s="399"/>
      <c r="G441" s="518"/>
      <c r="H441" s="285" t="s">
        <v>60</v>
      </c>
      <c r="I441" s="286" t="s">
        <v>44</v>
      </c>
      <c r="K441" s="247"/>
      <c r="L441" s="247"/>
    </row>
    <row r="442" ht="16.5" customHeight="1">
      <c r="A442" s="248"/>
      <c r="D442" s="251" t="s">
        <v>154</v>
      </c>
      <c r="E442" s="251">
        <v>2.0</v>
      </c>
      <c r="F442" s="256"/>
      <c r="G442" s="253"/>
      <c r="H442" s="254" t="s">
        <v>155</v>
      </c>
      <c r="I442" s="287" t="s">
        <v>145</v>
      </c>
      <c r="K442" s="247"/>
      <c r="L442" s="247"/>
    </row>
    <row r="443" ht="16.5" customHeight="1">
      <c r="A443" s="248"/>
      <c r="D443" s="251" t="s">
        <v>331</v>
      </c>
      <c r="E443" s="251">
        <v>2.0</v>
      </c>
      <c r="F443" s="252"/>
      <c r="G443" s="253"/>
      <c r="H443" s="254" t="s">
        <v>332</v>
      </c>
      <c r="I443" s="255" t="s">
        <v>8</v>
      </c>
      <c r="K443" s="247"/>
      <c r="L443" s="247"/>
    </row>
    <row r="444" ht="16.5" customHeight="1">
      <c r="A444" s="248"/>
      <c r="D444" s="251" t="s">
        <v>163</v>
      </c>
      <c r="E444" s="251">
        <v>2.0</v>
      </c>
      <c r="F444" s="256"/>
      <c r="G444" s="253"/>
      <c r="H444" s="254" t="s">
        <v>165</v>
      </c>
      <c r="I444" s="255" t="s">
        <v>164</v>
      </c>
      <c r="K444" s="247"/>
      <c r="L444" s="247"/>
    </row>
    <row r="445" ht="16.5" customHeight="1">
      <c r="A445" s="259"/>
      <c r="B445" s="260"/>
      <c r="C445" s="260"/>
      <c r="D445" s="277" t="s">
        <v>50</v>
      </c>
      <c r="E445" s="277">
        <v>2.0</v>
      </c>
      <c r="F445" s="315"/>
      <c r="G445" s="316"/>
      <c r="H445" s="280" t="s">
        <v>51</v>
      </c>
      <c r="I445" s="255" t="s">
        <v>44</v>
      </c>
      <c r="K445" s="247"/>
      <c r="L445" s="247"/>
    </row>
    <row r="446">
      <c r="A446" s="366" t="s">
        <v>491</v>
      </c>
      <c r="B446" s="329" t="s">
        <v>492</v>
      </c>
      <c r="C446" s="282">
        <f>sum(E446:E449)</f>
        <v>9</v>
      </c>
      <c r="D446" s="264" t="s">
        <v>331</v>
      </c>
      <c r="E446" s="264">
        <v>2.0</v>
      </c>
      <c r="F446" s="330"/>
      <c r="G446" s="305"/>
      <c r="H446" s="285" t="s">
        <v>332</v>
      </c>
      <c r="I446" s="286" t="s">
        <v>8</v>
      </c>
      <c r="K446" s="247"/>
      <c r="L446" s="247"/>
    </row>
    <row r="447">
      <c r="A447" s="248"/>
      <c r="D447" s="251" t="s">
        <v>163</v>
      </c>
      <c r="E447" s="251">
        <v>2.0</v>
      </c>
      <c r="F447" s="256"/>
      <c r="G447" s="253"/>
      <c r="H447" s="254" t="s">
        <v>165</v>
      </c>
      <c r="I447" s="255" t="s">
        <v>164</v>
      </c>
      <c r="K447" s="247"/>
      <c r="L447" s="247"/>
    </row>
    <row r="448">
      <c r="A448" s="248"/>
      <c r="D448" s="251" t="s">
        <v>65</v>
      </c>
      <c r="E448" s="251">
        <v>3.0</v>
      </c>
      <c r="F448" s="257"/>
      <c r="G448" s="258"/>
      <c r="H448" s="254" t="s">
        <v>284</v>
      </c>
      <c r="I448" s="255" t="s">
        <v>66</v>
      </c>
      <c r="K448" s="247"/>
      <c r="L448" s="247"/>
    </row>
    <row r="449">
      <c r="A449" s="259"/>
      <c r="B449" s="260"/>
      <c r="C449" s="260"/>
      <c r="D449" s="306" t="s">
        <v>98</v>
      </c>
      <c r="E449" s="306">
        <v>2.0</v>
      </c>
      <c r="F449" s="274"/>
      <c r="G449" s="274"/>
      <c r="H449" s="275" t="s">
        <v>100</v>
      </c>
      <c r="I449" s="255" t="s">
        <v>99</v>
      </c>
      <c r="K449" s="247"/>
      <c r="L449" s="247"/>
    </row>
    <row r="450">
      <c r="A450" s="519" t="s">
        <v>493</v>
      </c>
      <c r="B450" s="476" t="s">
        <v>494</v>
      </c>
      <c r="C450" s="282">
        <f>sum(E450:E454)</f>
        <v>9</v>
      </c>
      <c r="D450" s="264" t="s">
        <v>163</v>
      </c>
      <c r="E450" s="264">
        <v>2.0</v>
      </c>
      <c r="F450" s="374"/>
      <c r="G450" s="305"/>
      <c r="H450" s="285" t="s">
        <v>165</v>
      </c>
      <c r="I450" s="286" t="s">
        <v>164</v>
      </c>
      <c r="K450" s="247"/>
      <c r="L450" s="247"/>
    </row>
    <row r="451">
      <c r="A451" s="248"/>
      <c r="D451" s="251" t="s">
        <v>331</v>
      </c>
      <c r="E451" s="251">
        <v>2.0</v>
      </c>
      <c r="F451" s="252"/>
      <c r="G451" s="253"/>
      <c r="H451" s="254" t="s">
        <v>332</v>
      </c>
      <c r="I451" s="255" t="s">
        <v>8</v>
      </c>
      <c r="K451" s="247"/>
      <c r="L451" s="247"/>
    </row>
    <row r="452">
      <c r="A452" s="248"/>
      <c r="D452" s="251" t="s">
        <v>20</v>
      </c>
      <c r="E452" s="251">
        <v>2.0</v>
      </c>
      <c r="F452" s="252"/>
      <c r="G452" s="253"/>
      <c r="H452" s="254" t="s">
        <v>21</v>
      </c>
      <c r="I452" s="255" t="s">
        <v>8</v>
      </c>
      <c r="K452" s="247"/>
      <c r="L452" s="247"/>
    </row>
    <row r="453">
      <c r="A453" s="248"/>
      <c r="D453" s="251" t="s">
        <v>154</v>
      </c>
      <c r="E453" s="251">
        <v>2.0</v>
      </c>
      <c r="F453" s="256"/>
      <c r="G453" s="253"/>
      <c r="H453" s="254" t="s">
        <v>155</v>
      </c>
      <c r="I453" s="287" t="s">
        <v>145</v>
      </c>
      <c r="K453" s="247"/>
      <c r="L453" s="247"/>
    </row>
    <row r="454">
      <c r="A454" s="259"/>
      <c r="B454" s="260"/>
      <c r="C454" s="260"/>
      <c r="D454" s="251" t="s">
        <v>160</v>
      </c>
      <c r="E454" s="251">
        <v>1.0</v>
      </c>
      <c r="F454" s="306"/>
      <c r="G454" s="306"/>
      <c r="H454" s="254" t="s">
        <v>161</v>
      </c>
      <c r="I454" s="287" t="s">
        <v>145</v>
      </c>
      <c r="K454" s="247"/>
      <c r="L454" s="247"/>
    </row>
    <row r="455">
      <c r="A455" s="328" t="s">
        <v>495</v>
      </c>
      <c r="B455" s="329" t="s">
        <v>496</v>
      </c>
      <c r="C455" s="282">
        <f>sum(E455:E458)</f>
        <v>9</v>
      </c>
      <c r="D455" s="264" t="s">
        <v>331</v>
      </c>
      <c r="E455" s="264">
        <v>2.0</v>
      </c>
      <c r="F455" s="330"/>
      <c r="G455" s="305"/>
      <c r="H455" s="285" t="s">
        <v>332</v>
      </c>
      <c r="I455" s="286" t="s">
        <v>8</v>
      </c>
      <c r="K455" s="247"/>
      <c r="L455" s="247"/>
    </row>
    <row r="456">
      <c r="A456" s="248"/>
      <c r="D456" s="251" t="s">
        <v>65</v>
      </c>
      <c r="E456" s="251">
        <v>3.0</v>
      </c>
      <c r="F456" s="257"/>
      <c r="G456" s="258"/>
      <c r="H456" s="254" t="s">
        <v>284</v>
      </c>
      <c r="I456" s="255" t="s">
        <v>66</v>
      </c>
      <c r="K456" s="247"/>
      <c r="L456" s="247"/>
    </row>
    <row r="457">
      <c r="A457" s="248"/>
      <c r="D457" s="251" t="s">
        <v>50</v>
      </c>
      <c r="E457" s="251">
        <v>2.0</v>
      </c>
      <c r="F457" s="252"/>
      <c r="G457" s="253"/>
      <c r="H457" s="254" t="s">
        <v>51</v>
      </c>
      <c r="I457" s="255" t="s">
        <v>44</v>
      </c>
      <c r="K457" s="247"/>
      <c r="L457" s="247"/>
    </row>
    <row r="458">
      <c r="A458" s="259"/>
      <c r="B458" s="260"/>
      <c r="C458" s="260"/>
      <c r="D458" s="251" t="s">
        <v>163</v>
      </c>
      <c r="E458" s="251">
        <v>2.0</v>
      </c>
      <c r="F458" s="256"/>
      <c r="G458" s="253"/>
      <c r="H458" s="254" t="s">
        <v>165</v>
      </c>
      <c r="I458" s="255" t="s">
        <v>164</v>
      </c>
      <c r="K458" s="247"/>
      <c r="L458" s="247"/>
    </row>
    <row r="459">
      <c r="A459" s="302" t="s">
        <v>497</v>
      </c>
      <c r="B459" s="262" t="s">
        <v>498</v>
      </c>
      <c r="C459" s="282">
        <f>Sum(E459:E463)</f>
        <v>9</v>
      </c>
      <c r="D459" s="264" t="s">
        <v>499</v>
      </c>
      <c r="E459" s="264">
        <v>3.0</v>
      </c>
      <c r="F459" s="330"/>
      <c r="G459" s="305"/>
      <c r="H459" s="285" t="s">
        <v>500</v>
      </c>
      <c r="I459" s="286" t="s">
        <v>106</v>
      </c>
      <c r="K459" s="247"/>
      <c r="L459" s="247"/>
    </row>
    <row r="460">
      <c r="A460" s="248"/>
      <c r="D460" s="251" t="s">
        <v>50</v>
      </c>
      <c r="E460" s="251">
        <v>2.0</v>
      </c>
      <c r="F460" s="252"/>
      <c r="G460" s="253"/>
      <c r="H460" s="254" t="s">
        <v>51</v>
      </c>
      <c r="I460" s="255" t="s">
        <v>44</v>
      </c>
      <c r="K460" s="247"/>
      <c r="L460" s="247"/>
    </row>
    <row r="461">
      <c r="A461" s="248"/>
      <c r="D461" s="251" t="s">
        <v>141</v>
      </c>
      <c r="E461" s="251">
        <v>1.0</v>
      </c>
      <c r="F461" s="253"/>
      <c r="G461" s="253"/>
      <c r="H461" s="254" t="s">
        <v>142</v>
      </c>
      <c r="I461" s="255" t="s">
        <v>106</v>
      </c>
      <c r="K461" s="247"/>
      <c r="L461" s="247"/>
    </row>
    <row r="462">
      <c r="A462" s="248"/>
      <c r="D462" s="251" t="s">
        <v>118</v>
      </c>
      <c r="E462" s="251">
        <v>1.0</v>
      </c>
      <c r="F462" s="253"/>
      <c r="G462" s="253"/>
      <c r="H462" s="254" t="s">
        <v>323</v>
      </c>
      <c r="I462" s="255" t="s">
        <v>106</v>
      </c>
      <c r="K462" s="247"/>
      <c r="L462" s="247"/>
    </row>
    <row r="463">
      <c r="A463" s="259"/>
      <c r="B463" s="260"/>
      <c r="C463" s="260"/>
      <c r="D463" s="277" t="s">
        <v>80</v>
      </c>
      <c r="E463" s="277">
        <v>2.0</v>
      </c>
      <c r="F463" s="316"/>
      <c r="G463" s="316"/>
      <c r="H463" s="280" t="s">
        <v>81</v>
      </c>
      <c r="I463" s="255" t="s">
        <v>66</v>
      </c>
      <c r="K463" s="247"/>
      <c r="L463" s="247"/>
    </row>
    <row r="464">
      <c r="A464" s="326" t="s">
        <v>501</v>
      </c>
      <c r="B464" s="327" t="s">
        <v>502</v>
      </c>
      <c r="C464" s="242">
        <f>sum(E464:E467)</f>
        <v>9</v>
      </c>
      <c r="D464" s="251" t="s">
        <v>331</v>
      </c>
      <c r="E464" s="251">
        <v>2.0</v>
      </c>
      <c r="F464" s="252"/>
      <c r="G464" s="253"/>
      <c r="H464" s="254" t="s">
        <v>332</v>
      </c>
      <c r="I464" s="255" t="s">
        <v>8</v>
      </c>
      <c r="K464" s="247"/>
      <c r="L464" s="247"/>
    </row>
    <row r="465">
      <c r="A465" s="248"/>
      <c r="D465" s="357" t="s">
        <v>503</v>
      </c>
      <c r="E465" s="357">
        <v>3.0</v>
      </c>
      <c r="F465" s="252"/>
      <c r="G465" s="253"/>
      <c r="H465" s="254" t="s">
        <v>504</v>
      </c>
      <c r="I465" s="255" t="s">
        <v>99</v>
      </c>
      <c r="K465" s="247"/>
      <c r="L465" s="247"/>
    </row>
    <row r="466">
      <c r="A466" s="248"/>
      <c r="D466" s="306" t="s">
        <v>62</v>
      </c>
      <c r="E466" s="306">
        <v>1.0</v>
      </c>
      <c r="F466" s="274"/>
      <c r="G466" s="274"/>
      <c r="H466" s="275" t="s">
        <v>63</v>
      </c>
      <c r="I466" s="255" t="s">
        <v>44</v>
      </c>
      <c r="K466" s="247"/>
      <c r="L466" s="247"/>
    </row>
    <row r="467">
      <c r="A467" s="259"/>
      <c r="B467" s="260"/>
      <c r="C467" s="260"/>
      <c r="D467" s="251" t="s">
        <v>65</v>
      </c>
      <c r="E467" s="251">
        <v>3.0</v>
      </c>
      <c r="F467" s="257"/>
      <c r="G467" s="258"/>
      <c r="H467" s="254" t="s">
        <v>284</v>
      </c>
      <c r="I467" s="255" t="s">
        <v>66</v>
      </c>
      <c r="K467" s="247"/>
      <c r="L467" s="247"/>
    </row>
    <row r="468">
      <c r="A468" s="261" t="s">
        <v>505</v>
      </c>
      <c r="B468" s="262" t="s">
        <v>506</v>
      </c>
      <c r="C468" s="282">
        <f>sum(E468:E471)</f>
        <v>9</v>
      </c>
      <c r="D468" s="520" t="s">
        <v>180</v>
      </c>
      <c r="E468" s="521">
        <v>3.0</v>
      </c>
      <c r="F468" s="522"/>
      <c r="G468" s="523"/>
      <c r="H468" s="524" t="s">
        <v>181</v>
      </c>
      <c r="I468" s="525" t="s">
        <v>177</v>
      </c>
      <c r="K468" s="247"/>
      <c r="L468" s="247"/>
    </row>
    <row r="469">
      <c r="A469" s="248"/>
      <c r="D469" s="288" t="s">
        <v>190</v>
      </c>
      <c r="E469" s="289">
        <v>1.0</v>
      </c>
      <c r="F469" s="12"/>
      <c r="G469" s="290"/>
      <c r="H469" s="291" t="s">
        <v>191</v>
      </c>
      <c r="I469" s="292" t="s">
        <v>187</v>
      </c>
      <c r="K469" s="247"/>
      <c r="L469" s="247"/>
    </row>
    <row r="470">
      <c r="A470" s="248"/>
      <c r="D470" s="526" t="s">
        <v>65</v>
      </c>
      <c r="E470" s="295">
        <v>3.0</v>
      </c>
      <c r="F470" s="70"/>
      <c r="G470" s="72"/>
      <c r="H470" s="296" t="s">
        <v>284</v>
      </c>
      <c r="I470" s="297" t="s">
        <v>66</v>
      </c>
      <c r="K470" s="247"/>
      <c r="L470" s="247"/>
    </row>
    <row r="471">
      <c r="A471" s="259"/>
      <c r="B471" s="260"/>
      <c r="C471" s="260"/>
      <c r="D471" s="251" t="s">
        <v>507</v>
      </c>
      <c r="E471" s="357">
        <v>2.0</v>
      </c>
      <c r="F471" s="247"/>
      <c r="G471" s="253"/>
      <c r="H471" s="254" t="s">
        <v>508</v>
      </c>
      <c r="I471" s="255" t="s">
        <v>8</v>
      </c>
      <c r="K471" s="247"/>
      <c r="L471" s="247"/>
    </row>
    <row r="472">
      <c r="A472" s="261" t="s">
        <v>509</v>
      </c>
      <c r="B472" s="262" t="s">
        <v>510</v>
      </c>
      <c r="C472" s="282">
        <f>sum(E472:E476)</f>
        <v>9</v>
      </c>
      <c r="D472" s="527" t="s">
        <v>65</v>
      </c>
      <c r="E472" s="264">
        <v>3.0</v>
      </c>
      <c r="F472" s="528" t="s">
        <v>511</v>
      </c>
      <c r="G472" s="344"/>
      <c r="H472" s="285" t="s">
        <v>284</v>
      </c>
      <c r="I472" s="529" t="s">
        <v>66</v>
      </c>
      <c r="K472" s="247"/>
      <c r="L472" s="247"/>
    </row>
    <row r="473">
      <c r="A473" s="248"/>
      <c r="D473" s="530" t="s">
        <v>62</v>
      </c>
      <c r="E473" s="306">
        <v>1.0</v>
      </c>
      <c r="H473" s="275" t="s">
        <v>63</v>
      </c>
      <c r="I473" s="531" t="s">
        <v>44</v>
      </c>
      <c r="K473" s="247"/>
      <c r="L473" s="247"/>
    </row>
    <row r="474">
      <c r="A474" s="248"/>
      <c r="D474" s="532" t="s">
        <v>163</v>
      </c>
      <c r="E474" s="533">
        <v>2.0</v>
      </c>
      <c r="F474" s="534"/>
      <c r="G474" s="534"/>
      <c r="H474" s="535" t="s">
        <v>165</v>
      </c>
      <c r="I474" s="536" t="s">
        <v>164</v>
      </c>
      <c r="K474" s="247"/>
      <c r="L474" s="247"/>
    </row>
    <row r="475">
      <c r="A475" s="248"/>
      <c r="D475" s="251" t="s">
        <v>285</v>
      </c>
      <c r="E475" s="251">
        <v>2.0</v>
      </c>
      <c r="F475" s="537" t="s">
        <v>512</v>
      </c>
      <c r="H475" s="254" t="s">
        <v>116</v>
      </c>
      <c r="I475" s="255" t="s">
        <v>106</v>
      </c>
      <c r="K475" s="247"/>
      <c r="L475" s="247"/>
    </row>
    <row r="476">
      <c r="A476" s="259"/>
      <c r="B476" s="260"/>
      <c r="C476" s="260"/>
      <c r="D476" s="251" t="s">
        <v>160</v>
      </c>
      <c r="E476" s="251">
        <v>1.0</v>
      </c>
      <c r="F476" s="260"/>
      <c r="G476" s="260"/>
      <c r="H476" s="254" t="s">
        <v>161</v>
      </c>
      <c r="I476" s="287" t="s">
        <v>145</v>
      </c>
      <c r="K476" s="247"/>
      <c r="L476" s="247"/>
    </row>
    <row r="477">
      <c r="A477" s="261" t="s">
        <v>513</v>
      </c>
      <c r="B477" s="262" t="s">
        <v>514</v>
      </c>
      <c r="C477" s="282">
        <f>sum(E477:E481)</f>
        <v>9</v>
      </c>
      <c r="D477" s="264" t="s">
        <v>154</v>
      </c>
      <c r="E477" s="264">
        <v>2.0</v>
      </c>
      <c r="F477" s="374"/>
      <c r="G477" s="305"/>
      <c r="H477" s="285" t="s">
        <v>155</v>
      </c>
      <c r="I477" s="267" t="s">
        <v>145</v>
      </c>
      <c r="K477" s="247"/>
      <c r="L477" s="247"/>
    </row>
    <row r="478">
      <c r="A478" s="248"/>
      <c r="D478" s="251" t="s">
        <v>163</v>
      </c>
      <c r="E478" s="251">
        <v>2.0</v>
      </c>
      <c r="F478" s="256"/>
      <c r="G478" s="253"/>
      <c r="H478" s="254" t="s">
        <v>165</v>
      </c>
      <c r="I478" s="255" t="s">
        <v>164</v>
      </c>
      <c r="K478" s="247"/>
      <c r="L478" s="247"/>
    </row>
    <row r="479">
      <c r="A479" s="248"/>
      <c r="D479" s="251" t="s">
        <v>515</v>
      </c>
      <c r="E479" s="251">
        <v>2.0</v>
      </c>
      <c r="F479" s="364"/>
      <c r="G479" s="364"/>
      <c r="H479" s="293" t="s">
        <v>349</v>
      </c>
      <c r="I479" s="255" t="s">
        <v>8</v>
      </c>
      <c r="K479" s="247"/>
      <c r="L479" s="247"/>
    </row>
    <row r="480">
      <c r="A480" s="248"/>
      <c r="D480" s="357" t="s">
        <v>516</v>
      </c>
      <c r="E480" s="357">
        <v>2.0</v>
      </c>
      <c r="F480" s="252"/>
      <c r="G480" s="253"/>
      <c r="H480" s="3" t="s">
        <v>517</v>
      </c>
      <c r="I480" s="255" t="s">
        <v>8</v>
      </c>
      <c r="K480" s="247"/>
      <c r="L480" s="247"/>
    </row>
    <row r="481">
      <c r="A481" s="259"/>
      <c r="B481" s="260"/>
      <c r="C481" s="260"/>
      <c r="D481" s="314" t="s">
        <v>518</v>
      </c>
      <c r="E481" s="314">
        <v>1.0</v>
      </c>
      <c r="F481" s="315"/>
      <c r="G481" s="316"/>
      <c r="H481" s="395" t="s">
        <v>519</v>
      </c>
      <c r="I481" s="396" t="s">
        <v>145</v>
      </c>
      <c r="K481" s="247"/>
      <c r="L481" s="247"/>
    </row>
    <row r="482">
      <c r="A482" s="240" t="s">
        <v>520</v>
      </c>
      <c r="B482" s="486" t="s">
        <v>521</v>
      </c>
      <c r="C482" s="242">
        <f>sum(E482:E486)</f>
        <v>9</v>
      </c>
      <c r="D482" s="251" t="s">
        <v>20</v>
      </c>
      <c r="E482" s="251">
        <v>2.0</v>
      </c>
      <c r="F482" s="252"/>
      <c r="G482" s="253"/>
      <c r="H482" s="254" t="s">
        <v>21</v>
      </c>
      <c r="I482" s="311" t="s">
        <v>8</v>
      </c>
      <c r="J482" s="310"/>
      <c r="K482" s="247"/>
      <c r="L482" s="247"/>
    </row>
    <row r="483">
      <c r="A483" s="248"/>
      <c r="D483" s="306" t="s">
        <v>98</v>
      </c>
      <c r="E483" s="306">
        <v>2.0</v>
      </c>
      <c r="F483" s="274"/>
      <c r="G483" s="274"/>
      <c r="H483" s="275" t="s">
        <v>100</v>
      </c>
      <c r="I483" s="311" t="s">
        <v>99</v>
      </c>
      <c r="J483" s="310"/>
      <c r="K483" s="247"/>
      <c r="L483" s="247"/>
    </row>
    <row r="484">
      <c r="A484" s="248"/>
      <c r="D484" s="251" t="s">
        <v>163</v>
      </c>
      <c r="E484" s="251">
        <v>2.0</v>
      </c>
      <c r="F484" s="256"/>
      <c r="G484" s="253"/>
      <c r="H484" s="254" t="s">
        <v>165</v>
      </c>
      <c r="I484" s="311" t="s">
        <v>164</v>
      </c>
      <c r="J484" s="310"/>
      <c r="K484" s="247"/>
      <c r="L484" s="247"/>
    </row>
    <row r="485">
      <c r="A485" s="248"/>
      <c r="D485" s="251" t="s">
        <v>23</v>
      </c>
      <c r="E485" s="251">
        <v>2.0</v>
      </c>
      <c r="F485" s="256"/>
      <c r="G485" s="253"/>
      <c r="H485" s="254" t="s">
        <v>308</v>
      </c>
      <c r="I485" s="255" t="s">
        <v>24</v>
      </c>
      <c r="K485" s="247"/>
      <c r="L485" s="247"/>
    </row>
    <row r="486">
      <c r="A486" s="259"/>
      <c r="B486" s="260"/>
      <c r="C486" s="260"/>
      <c r="D486" s="251" t="s">
        <v>135</v>
      </c>
      <c r="E486" s="251">
        <v>1.0</v>
      </c>
      <c r="F486" s="252"/>
      <c r="G486" s="253"/>
      <c r="H486" s="254" t="s">
        <v>136</v>
      </c>
      <c r="I486" s="255" t="s">
        <v>106</v>
      </c>
      <c r="K486" s="247"/>
      <c r="L486" s="247"/>
    </row>
    <row r="487">
      <c r="A487" s="328" t="s">
        <v>522</v>
      </c>
      <c r="B487" s="262" t="s">
        <v>523</v>
      </c>
      <c r="C487" s="282">
        <f>sum(E487:E490)</f>
        <v>9</v>
      </c>
      <c r="D487" s="264" t="s">
        <v>163</v>
      </c>
      <c r="E487" s="264">
        <v>2.0</v>
      </c>
      <c r="F487" s="374"/>
      <c r="G487" s="305"/>
      <c r="H487" s="285" t="s">
        <v>165</v>
      </c>
      <c r="I487" s="286" t="s">
        <v>164</v>
      </c>
      <c r="K487" s="247"/>
      <c r="L487" s="247"/>
    </row>
    <row r="488">
      <c r="A488" s="248"/>
      <c r="D488" s="251" t="s">
        <v>23</v>
      </c>
      <c r="E488" s="251">
        <v>2.0</v>
      </c>
      <c r="F488" s="256"/>
      <c r="G488" s="253"/>
      <c r="H488" s="254" t="s">
        <v>308</v>
      </c>
      <c r="I488" s="255" t="s">
        <v>24</v>
      </c>
      <c r="K488" s="247"/>
      <c r="L488" s="247"/>
    </row>
    <row r="489">
      <c r="A489" s="248"/>
      <c r="D489" s="251" t="s">
        <v>65</v>
      </c>
      <c r="E489" s="251">
        <v>3.0</v>
      </c>
      <c r="F489" s="257"/>
      <c r="G489" s="258"/>
      <c r="H489" s="254" t="s">
        <v>284</v>
      </c>
      <c r="I489" s="255" t="s">
        <v>66</v>
      </c>
      <c r="K489" s="247"/>
      <c r="L489" s="247"/>
    </row>
    <row r="490">
      <c r="A490" s="259"/>
      <c r="B490" s="260"/>
      <c r="C490" s="260"/>
      <c r="D490" s="251" t="s">
        <v>331</v>
      </c>
      <c r="E490" s="251">
        <v>2.0</v>
      </c>
      <c r="F490" s="252"/>
      <c r="G490" s="253"/>
      <c r="H490" s="254" t="s">
        <v>332</v>
      </c>
      <c r="I490" s="255" t="s">
        <v>8</v>
      </c>
      <c r="K490" s="247"/>
      <c r="L490" s="247"/>
    </row>
    <row r="491">
      <c r="A491" s="328" t="s">
        <v>524</v>
      </c>
      <c r="B491" s="303" t="s">
        <v>525</v>
      </c>
      <c r="C491" s="282">
        <f>sum(E491:AC494)</f>
        <v>9</v>
      </c>
      <c r="D491" s="264" t="s">
        <v>167</v>
      </c>
      <c r="E491" s="264">
        <v>2.0</v>
      </c>
      <c r="F491" s="330"/>
      <c r="G491" s="305"/>
      <c r="H491" s="285" t="s">
        <v>168</v>
      </c>
      <c r="I491" s="286" t="s">
        <v>164</v>
      </c>
      <c r="K491" s="247"/>
      <c r="L491" s="247"/>
    </row>
    <row r="492">
      <c r="A492" s="248"/>
      <c r="D492" s="251" t="s">
        <v>23</v>
      </c>
      <c r="E492" s="251">
        <v>2.0</v>
      </c>
      <c r="F492" s="351"/>
      <c r="G492" s="352"/>
      <c r="H492" s="293" t="s">
        <v>308</v>
      </c>
      <c r="I492" s="255" t="s">
        <v>24</v>
      </c>
      <c r="K492" s="247"/>
      <c r="L492" s="247"/>
    </row>
    <row r="493">
      <c r="A493" s="248"/>
      <c r="D493" s="251" t="s">
        <v>65</v>
      </c>
      <c r="E493" s="251">
        <v>3.0</v>
      </c>
      <c r="F493" s="257"/>
      <c r="G493" s="258"/>
      <c r="H493" s="254" t="s">
        <v>284</v>
      </c>
      <c r="I493" s="255" t="s">
        <v>66</v>
      </c>
      <c r="K493" s="247"/>
      <c r="L493" s="247"/>
    </row>
    <row r="494">
      <c r="A494" s="259"/>
      <c r="B494" s="260"/>
      <c r="C494" s="260"/>
      <c r="D494" s="299" t="s">
        <v>98</v>
      </c>
      <c r="E494" s="299">
        <v>2.0</v>
      </c>
      <c r="F494" s="372"/>
      <c r="G494" s="372"/>
      <c r="H494" s="373" t="s">
        <v>100</v>
      </c>
      <c r="I494" s="281" t="s">
        <v>99</v>
      </c>
      <c r="K494" s="247"/>
      <c r="L494" s="247"/>
    </row>
    <row r="495">
      <c r="A495" s="328" t="s">
        <v>526</v>
      </c>
      <c r="B495" s="262" t="s">
        <v>289</v>
      </c>
      <c r="C495" s="282">
        <f>sum(E495:E501)</f>
        <v>9</v>
      </c>
      <c r="D495" s="264" t="s">
        <v>163</v>
      </c>
      <c r="E495" s="264">
        <v>2.0</v>
      </c>
      <c r="F495" s="374"/>
      <c r="G495" s="305"/>
      <c r="H495" s="285" t="s">
        <v>165</v>
      </c>
      <c r="I495" s="286" t="s">
        <v>164</v>
      </c>
      <c r="K495" s="247"/>
      <c r="L495" s="247"/>
    </row>
    <row r="496">
      <c r="A496" s="248"/>
      <c r="D496" s="251" t="s">
        <v>105</v>
      </c>
      <c r="E496" s="251">
        <v>2.0</v>
      </c>
      <c r="F496" s="364"/>
      <c r="G496" s="364"/>
      <c r="H496" s="293" t="s">
        <v>107</v>
      </c>
      <c r="I496" s="255" t="s">
        <v>106</v>
      </c>
      <c r="K496" s="247"/>
      <c r="L496" s="247"/>
    </row>
    <row r="497">
      <c r="A497" s="248"/>
      <c r="D497" s="251" t="s">
        <v>23</v>
      </c>
      <c r="E497" s="251">
        <v>2.0</v>
      </c>
      <c r="F497" s="351"/>
      <c r="G497" s="352"/>
      <c r="H497" s="293" t="s">
        <v>308</v>
      </c>
      <c r="I497" s="255" t="s">
        <v>24</v>
      </c>
      <c r="K497" s="247"/>
      <c r="L497" s="247"/>
    </row>
    <row r="498">
      <c r="A498" s="248"/>
      <c r="D498" s="251" t="s">
        <v>132</v>
      </c>
      <c r="E498" s="251">
        <v>1.0</v>
      </c>
      <c r="F498" s="364"/>
      <c r="G498" s="364"/>
      <c r="H498" s="293" t="s">
        <v>133</v>
      </c>
      <c r="I498" s="255" t="s">
        <v>106</v>
      </c>
      <c r="K498" s="247"/>
      <c r="L498" s="247"/>
    </row>
    <row r="499">
      <c r="A499" s="248"/>
      <c r="D499" s="251" t="s">
        <v>127</v>
      </c>
      <c r="E499" s="251">
        <v>1.0</v>
      </c>
      <c r="F499" s="400"/>
      <c r="G499" s="401"/>
      <c r="H499" s="254" t="s">
        <v>128</v>
      </c>
      <c r="I499" s="255" t="s">
        <v>106</v>
      </c>
      <c r="K499" s="247"/>
      <c r="L499" s="247"/>
    </row>
    <row r="500">
      <c r="A500" s="248"/>
      <c r="D500" s="251" t="s">
        <v>59</v>
      </c>
      <c r="E500" s="251">
        <v>1.0</v>
      </c>
      <c r="F500" s="251"/>
      <c r="G500" s="251"/>
      <c r="H500" s="293" t="s">
        <v>60</v>
      </c>
      <c r="I500" s="255" t="s">
        <v>44</v>
      </c>
      <c r="K500" s="247"/>
      <c r="L500" s="247"/>
    </row>
    <row r="501">
      <c r="A501" s="259"/>
      <c r="B501" s="260"/>
      <c r="C501" s="260"/>
      <c r="D501" s="260"/>
      <c r="E501" s="260"/>
      <c r="F501" s="260"/>
      <c r="G501" s="260"/>
      <c r="H501" s="260"/>
      <c r="I501" s="538"/>
      <c r="K501" s="247"/>
      <c r="L501" s="247"/>
    </row>
    <row r="502">
      <c r="A502" s="413" t="s">
        <v>527</v>
      </c>
      <c r="B502" s="476" t="s">
        <v>528</v>
      </c>
      <c r="C502" s="263">
        <f>sum(E502:E507)</f>
        <v>9</v>
      </c>
      <c r="D502" s="264" t="s">
        <v>59</v>
      </c>
      <c r="E502" s="264">
        <v>1.0</v>
      </c>
      <c r="F502" s="264"/>
      <c r="G502" s="264"/>
      <c r="H502" s="266" t="s">
        <v>60</v>
      </c>
      <c r="I502" s="286" t="s">
        <v>44</v>
      </c>
      <c r="K502" s="247"/>
      <c r="L502" s="247"/>
    </row>
    <row r="503">
      <c r="A503" s="248"/>
      <c r="D503" s="251" t="s">
        <v>20</v>
      </c>
      <c r="E503" s="251">
        <v>2.0</v>
      </c>
      <c r="F503" s="252"/>
      <c r="G503" s="253"/>
      <c r="H503" s="254" t="s">
        <v>21</v>
      </c>
      <c r="I503" s="255" t="s">
        <v>8</v>
      </c>
      <c r="K503" s="247"/>
      <c r="L503" s="247"/>
    </row>
    <row r="504">
      <c r="A504" s="248"/>
      <c r="D504" s="334" t="s">
        <v>40</v>
      </c>
      <c r="E504" s="335">
        <v>1.0</v>
      </c>
      <c r="F504" s="39"/>
      <c r="G504" s="41"/>
      <c r="H504" s="41" t="s">
        <v>41</v>
      </c>
      <c r="I504" s="336" t="s">
        <v>31</v>
      </c>
      <c r="K504" s="247"/>
      <c r="L504" s="247"/>
    </row>
    <row r="505">
      <c r="A505" s="248"/>
      <c r="D505" s="251" t="s">
        <v>50</v>
      </c>
      <c r="E505" s="251">
        <v>2.0</v>
      </c>
      <c r="F505" s="252"/>
      <c r="G505" s="253"/>
      <c r="H505" s="254" t="s">
        <v>51</v>
      </c>
      <c r="I505" s="255" t="s">
        <v>44</v>
      </c>
      <c r="K505" s="247"/>
      <c r="L505" s="247"/>
    </row>
    <row r="506">
      <c r="A506" s="248"/>
      <c r="D506" s="295" t="s">
        <v>71</v>
      </c>
      <c r="E506" s="295">
        <v>2.0</v>
      </c>
      <c r="F506" s="70"/>
      <c r="G506" s="72"/>
      <c r="H506" s="296" t="s">
        <v>72</v>
      </c>
      <c r="I506" s="297" t="s">
        <v>66</v>
      </c>
      <c r="K506" s="247"/>
      <c r="L506" s="247"/>
    </row>
    <row r="507">
      <c r="A507" s="259"/>
      <c r="B507" s="260"/>
      <c r="C507" s="260"/>
      <c r="D507" s="251" t="s">
        <v>132</v>
      </c>
      <c r="E507" s="251">
        <v>1.0</v>
      </c>
      <c r="F507" s="364"/>
      <c r="G507" s="364"/>
      <c r="H507" s="293" t="s">
        <v>133</v>
      </c>
      <c r="I507" s="255" t="s">
        <v>106</v>
      </c>
      <c r="K507" s="247"/>
      <c r="L507" s="247"/>
    </row>
    <row r="508">
      <c r="A508" s="261" t="s">
        <v>529</v>
      </c>
      <c r="B508" s="262" t="s">
        <v>530</v>
      </c>
      <c r="C508" s="263">
        <f>sum(E508:E511)</f>
        <v>9</v>
      </c>
      <c r="D508" s="264" t="s">
        <v>163</v>
      </c>
      <c r="E508" s="264">
        <v>2.0</v>
      </c>
      <c r="F508" s="374"/>
      <c r="G508" s="305"/>
      <c r="H508" s="285" t="s">
        <v>165</v>
      </c>
      <c r="I508" s="286" t="s">
        <v>164</v>
      </c>
      <c r="K508" s="247"/>
      <c r="L508" s="247"/>
    </row>
    <row r="509">
      <c r="A509" s="248"/>
      <c r="D509" s="295" t="s">
        <v>80</v>
      </c>
      <c r="E509" s="295">
        <v>2.0</v>
      </c>
      <c r="F509" s="70"/>
      <c r="G509" s="72"/>
      <c r="H509" s="296" t="s">
        <v>81</v>
      </c>
      <c r="I509" s="297" t="s">
        <v>66</v>
      </c>
      <c r="K509" s="247"/>
      <c r="L509" s="247"/>
    </row>
    <row r="510">
      <c r="A510" s="248"/>
      <c r="D510" s="321" t="s">
        <v>102</v>
      </c>
      <c r="E510" s="322">
        <v>2.0</v>
      </c>
      <c r="F510" s="323"/>
      <c r="G510" s="324"/>
      <c r="H510" s="324" t="s">
        <v>103</v>
      </c>
      <c r="I510" s="325" t="s">
        <v>99</v>
      </c>
      <c r="K510" s="247"/>
      <c r="L510" s="247"/>
    </row>
    <row r="511">
      <c r="A511" s="259"/>
      <c r="B511" s="260"/>
      <c r="C511" s="260"/>
      <c r="D511" s="277" t="s">
        <v>148</v>
      </c>
      <c r="E511" s="277">
        <v>3.0</v>
      </c>
      <c r="F511" s="299"/>
      <c r="G511" s="299"/>
      <c r="H511" s="300" t="s">
        <v>146</v>
      </c>
      <c r="I511" s="301" t="s">
        <v>145</v>
      </c>
      <c r="K511" s="247"/>
      <c r="L511" s="247"/>
    </row>
    <row r="512">
      <c r="A512" s="539" t="s">
        <v>531</v>
      </c>
      <c r="B512" s="540" t="s">
        <v>303</v>
      </c>
      <c r="C512" s="263">
        <f>sum(E512:E515)</f>
        <v>9</v>
      </c>
      <c r="D512" s="264" t="s">
        <v>291</v>
      </c>
      <c r="E512" s="264">
        <v>2.0</v>
      </c>
      <c r="F512" s="283"/>
      <c r="G512" s="284"/>
      <c r="H512" s="285" t="s">
        <v>284</v>
      </c>
      <c r="I512" s="286" t="s">
        <v>66</v>
      </c>
      <c r="K512" s="247"/>
      <c r="L512" s="247"/>
    </row>
    <row r="513">
      <c r="A513" s="248"/>
      <c r="D513" s="306" t="s">
        <v>98</v>
      </c>
      <c r="E513" s="306">
        <v>2.0</v>
      </c>
      <c r="F513" s="274"/>
      <c r="G513" s="274"/>
      <c r="H513" s="275" t="s">
        <v>100</v>
      </c>
      <c r="I513" s="255" t="s">
        <v>99</v>
      </c>
      <c r="K513" s="247"/>
      <c r="L513" s="247"/>
    </row>
    <row r="514">
      <c r="A514" s="248"/>
      <c r="D514" s="251" t="s">
        <v>154</v>
      </c>
      <c r="E514" s="251">
        <v>2.0</v>
      </c>
      <c r="F514" s="256"/>
      <c r="G514" s="253"/>
      <c r="H514" s="254" t="s">
        <v>155</v>
      </c>
      <c r="I514" s="287" t="s">
        <v>145</v>
      </c>
      <c r="K514" s="247"/>
      <c r="L514" s="247"/>
    </row>
    <row r="515">
      <c r="A515" s="259"/>
      <c r="B515" s="260"/>
      <c r="C515" s="260"/>
      <c r="D515" s="314" t="s">
        <v>176</v>
      </c>
      <c r="E515" s="314">
        <v>3.0</v>
      </c>
      <c r="F515" s="316"/>
      <c r="G515" s="316"/>
      <c r="H515" s="280" t="s">
        <v>290</v>
      </c>
      <c r="I515" s="281" t="s">
        <v>177</v>
      </c>
      <c r="K515" s="247"/>
      <c r="L515" s="247"/>
    </row>
    <row r="516">
      <c r="A516" s="328" t="s">
        <v>532</v>
      </c>
      <c r="B516" s="341" t="s">
        <v>533</v>
      </c>
      <c r="C516" s="263">
        <f>sum(E516:E521)</f>
        <v>9</v>
      </c>
      <c r="D516" s="264" t="s">
        <v>121</v>
      </c>
      <c r="E516" s="264">
        <v>1.0</v>
      </c>
      <c r="F516" s="406"/>
      <c r="G516" s="406"/>
      <c r="H516" s="266" t="s">
        <v>328</v>
      </c>
      <c r="I516" s="286" t="s">
        <v>106</v>
      </c>
      <c r="K516" s="247"/>
      <c r="L516" s="247"/>
    </row>
    <row r="517">
      <c r="A517" s="248"/>
      <c r="D517" s="251" t="s">
        <v>118</v>
      </c>
      <c r="E517" s="251">
        <v>1.0</v>
      </c>
      <c r="F517" s="253"/>
      <c r="G517" s="253"/>
      <c r="H517" s="254" t="s">
        <v>323</v>
      </c>
      <c r="I517" s="255" t="s">
        <v>106</v>
      </c>
      <c r="K517" s="247"/>
      <c r="L517" s="247"/>
    </row>
    <row r="518">
      <c r="A518" s="248"/>
      <c r="D518" s="251" t="s">
        <v>163</v>
      </c>
      <c r="E518" s="251">
        <v>2.0</v>
      </c>
      <c r="F518" s="256"/>
      <c r="G518" s="253"/>
      <c r="H518" s="254" t="s">
        <v>165</v>
      </c>
      <c r="I518" s="255" t="s">
        <v>164</v>
      </c>
      <c r="K518" s="247"/>
      <c r="L518" s="247"/>
    </row>
    <row r="519">
      <c r="A519" s="248"/>
      <c r="D519" s="251" t="s">
        <v>56</v>
      </c>
      <c r="E519" s="251">
        <v>1.0</v>
      </c>
      <c r="F519" s="252"/>
      <c r="G519" s="253"/>
      <c r="H519" s="254" t="s">
        <v>57</v>
      </c>
      <c r="I519" s="255" t="s">
        <v>44</v>
      </c>
      <c r="K519" s="247"/>
      <c r="L519" s="247"/>
    </row>
    <row r="520">
      <c r="A520" s="248"/>
      <c r="D520" s="251" t="s">
        <v>160</v>
      </c>
      <c r="E520" s="251">
        <v>1.0</v>
      </c>
      <c r="F520" s="306"/>
      <c r="G520" s="306"/>
      <c r="H520" s="254" t="s">
        <v>161</v>
      </c>
      <c r="I520" s="287" t="s">
        <v>145</v>
      </c>
      <c r="K520" s="247"/>
      <c r="L520" s="247"/>
    </row>
    <row r="521">
      <c r="A521" s="259"/>
      <c r="B521" s="260"/>
      <c r="C521" s="260"/>
      <c r="D521" s="277" t="s">
        <v>534</v>
      </c>
      <c r="E521" s="277">
        <v>3.0</v>
      </c>
      <c r="F521" s="408"/>
      <c r="G521" s="409"/>
      <c r="H521" s="300" t="s">
        <v>308</v>
      </c>
      <c r="I521" s="281" t="s">
        <v>24</v>
      </c>
      <c r="K521" s="247"/>
      <c r="L521" s="247"/>
    </row>
    <row r="522">
      <c r="A522" s="328" t="s">
        <v>535</v>
      </c>
      <c r="B522" s="303" t="s">
        <v>536</v>
      </c>
      <c r="C522" s="263">
        <f>sum(E522:E525)</f>
        <v>9</v>
      </c>
      <c r="D522" s="264" t="s">
        <v>50</v>
      </c>
      <c r="E522" s="264">
        <v>2.0</v>
      </c>
      <c r="F522" s="330"/>
      <c r="G522" s="305"/>
      <c r="H522" s="285" t="s">
        <v>51</v>
      </c>
      <c r="I522" s="286" t="s">
        <v>44</v>
      </c>
      <c r="K522" s="247"/>
      <c r="L522" s="247"/>
    </row>
    <row r="523">
      <c r="A523" s="248"/>
      <c r="D523" s="251" t="s">
        <v>65</v>
      </c>
      <c r="E523" s="251">
        <v>3.0</v>
      </c>
      <c r="F523" s="257"/>
      <c r="G523" s="258"/>
      <c r="H523" s="254" t="s">
        <v>284</v>
      </c>
      <c r="I523" s="255" t="s">
        <v>66</v>
      </c>
      <c r="K523" s="247"/>
      <c r="L523" s="247"/>
    </row>
    <row r="524">
      <c r="A524" s="248"/>
      <c r="D524" s="251" t="s">
        <v>148</v>
      </c>
      <c r="E524" s="251">
        <v>3.0</v>
      </c>
      <c r="F524" s="306"/>
      <c r="G524" s="306"/>
      <c r="H524" s="293" t="s">
        <v>146</v>
      </c>
      <c r="I524" s="287" t="s">
        <v>145</v>
      </c>
      <c r="K524" s="247"/>
      <c r="L524" s="247"/>
    </row>
    <row r="525">
      <c r="A525" s="259"/>
      <c r="B525" s="260"/>
      <c r="C525" s="260"/>
      <c r="D525" s="277" t="s">
        <v>118</v>
      </c>
      <c r="E525" s="277">
        <v>1.0</v>
      </c>
      <c r="F525" s="316"/>
      <c r="G525" s="316"/>
      <c r="H525" s="280" t="s">
        <v>323</v>
      </c>
      <c r="I525" s="281" t="s">
        <v>106</v>
      </c>
      <c r="K525" s="247"/>
      <c r="L525" s="247"/>
    </row>
    <row r="526">
      <c r="A526" s="541" t="s">
        <v>537</v>
      </c>
      <c r="B526" s="341" t="s">
        <v>538</v>
      </c>
      <c r="C526" s="263">
        <f>sum(E526:E529)</f>
        <v>9</v>
      </c>
      <c r="D526" s="264" t="s">
        <v>12</v>
      </c>
      <c r="E526" s="264">
        <v>2.0</v>
      </c>
      <c r="F526" s="406"/>
      <c r="G526" s="406"/>
      <c r="H526" s="266" t="s">
        <v>349</v>
      </c>
      <c r="I526" s="286" t="s">
        <v>8</v>
      </c>
      <c r="K526" s="247"/>
      <c r="L526" s="247"/>
    </row>
    <row r="527">
      <c r="A527" s="248"/>
      <c r="D527" s="251" t="s">
        <v>148</v>
      </c>
      <c r="E527" s="251">
        <v>3.0</v>
      </c>
      <c r="F527" s="306"/>
      <c r="G527" s="306"/>
      <c r="H527" s="293" t="s">
        <v>146</v>
      </c>
      <c r="I527" s="287" t="s">
        <v>145</v>
      </c>
      <c r="K527" s="247"/>
      <c r="L527" s="247"/>
    </row>
    <row r="528">
      <c r="A528" s="248"/>
      <c r="D528" s="251" t="s">
        <v>163</v>
      </c>
      <c r="E528" s="251">
        <v>2.0</v>
      </c>
      <c r="F528" s="256"/>
      <c r="G528" s="253"/>
      <c r="H528" s="254" t="s">
        <v>165</v>
      </c>
      <c r="I528" s="255" t="s">
        <v>164</v>
      </c>
      <c r="K528" s="247"/>
      <c r="L528" s="247"/>
    </row>
    <row r="529">
      <c r="A529" s="248"/>
      <c r="D529" s="542" t="s">
        <v>109</v>
      </c>
      <c r="E529" s="543">
        <v>2.0</v>
      </c>
      <c r="F529" s="544"/>
      <c r="G529" s="545"/>
      <c r="H529" s="545" t="s">
        <v>110</v>
      </c>
      <c r="I529" s="546" t="s">
        <v>106</v>
      </c>
      <c r="K529" s="247"/>
      <c r="L529" s="247"/>
    </row>
    <row r="530">
      <c r="A530" s="261" t="s">
        <v>539</v>
      </c>
      <c r="B530" s="262" t="s">
        <v>303</v>
      </c>
      <c r="C530" s="263">
        <f>sum(E530:E534)</f>
        <v>9</v>
      </c>
      <c r="D530" s="265" t="s">
        <v>157</v>
      </c>
      <c r="E530" s="265">
        <v>2.0</v>
      </c>
      <c r="F530" s="332"/>
      <c r="G530" s="332"/>
      <c r="H530" s="333" t="s">
        <v>158</v>
      </c>
      <c r="I530" s="267" t="s">
        <v>145</v>
      </c>
      <c r="K530" s="247"/>
      <c r="L530" s="247"/>
    </row>
    <row r="531">
      <c r="A531" s="248"/>
      <c r="D531" s="251" t="s">
        <v>167</v>
      </c>
      <c r="E531" s="251">
        <v>2.0</v>
      </c>
      <c r="F531" s="306"/>
      <c r="G531" s="306"/>
      <c r="H531" s="293" t="s">
        <v>168</v>
      </c>
      <c r="I531" s="255" t="s">
        <v>164</v>
      </c>
      <c r="K531" s="247"/>
      <c r="L531" s="247"/>
    </row>
    <row r="532">
      <c r="A532" s="248"/>
      <c r="D532" s="357" t="s">
        <v>176</v>
      </c>
      <c r="E532" s="357">
        <v>3.0</v>
      </c>
      <c r="F532" s="253"/>
      <c r="G532" s="253"/>
      <c r="H532" s="254" t="s">
        <v>290</v>
      </c>
      <c r="I532" s="255" t="s">
        <v>177</v>
      </c>
      <c r="K532" s="247"/>
      <c r="L532" s="247"/>
    </row>
    <row r="533">
      <c r="A533" s="248"/>
      <c r="D533" s="251" t="s">
        <v>135</v>
      </c>
      <c r="E533" s="251">
        <v>1.0</v>
      </c>
      <c r="F533" s="252"/>
      <c r="G533" s="253"/>
      <c r="H533" s="254" t="s">
        <v>136</v>
      </c>
      <c r="I533" s="255" t="s">
        <v>106</v>
      </c>
      <c r="K533" s="247"/>
      <c r="L533" s="247"/>
    </row>
    <row r="534">
      <c r="A534" s="259"/>
      <c r="B534" s="260"/>
      <c r="C534" s="260"/>
      <c r="D534" s="547" t="s">
        <v>112</v>
      </c>
      <c r="E534" s="547">
        <v>1.0</v>
      </c>
      <c r="F534" s="417"/>
      <c r="G534" s="548"/>
      <c r="H534" s="548" t="s">
        <v>113</v>
      </c>
      <c r="I534" s="549" t="s">
        <v>106</v>
      </c>
      <c r="K534" s="247"/>
      <c r="L534" s="247"/>
    </row>
    <row r="535">
      <c r="A535" s="261" t="s">
        <v>540</v>
      </c>
      <c r="B535" s="262" t="s">
        <v>541</v>
      </c>
      <c r="C535" s="263">
        <f>sum(E535:E540)</f>
        <v>9</v>
      </c>
      <c r="D535" s="264" t="s">
        <v>23</v>
      </c>
      <c r="E535" s="264">
        <v>2.0</v>
      </c>
      <c r="F535" s="374"/>
      <c r="G535" s="305"/>
      <c r="H535" s="285" t="s">
        <v>308</v>
      </c>
      <c r="I535" s="286" t="s">
        <v>24</v>
      </c>
      <c r="K535" s="247"/>
      <c r="L535" s="247"/>
    </row>
    <row r="536">
      <c r="A536" s="248"/>
      <c r="D536" s="251" t="s">
        <v>56</v>
      </c>
      <c r="E536" s="251">
        <v>1.0</v>
      </c>
      <c r="F536" s="252"/>
      <c r="G536" s="253"/>
      <c r="H536" s="254" t="s">
        <v>57</v>
      </c>
      <c r="I536" s="255" t="s">
        <v>44</v>
      </c>
      <c r="K536" s="247"/>
      <c r="L536" s="247"/>
    </row>
    <row r="537">
      <c r="A537" s="248"/>
      <c r="D537" s="251" t="s">
        <v>167</v>
      </c>
      <c r="E537" s="251">
        <v>2.0</v>
      </c>
      <c r="F537" s="306"/>
      <c r="G537" s="306"/>
      <c r="H537" s="293" t="s">
        <v>168</v>
      </c>
      <c r="I537" s="255" t="s">
        <v>164</v>
      </c>
      <c r="K537" s="247"/>
      <c r="L537" s="247"/>
    </row>
    <row r="538">
      <c r="A538" s="248"/>
      <c r="D538" s="295" t="s">
        <v>80</v>
      </c>
      <c r="E538" s="295">
        <v>2.0</v>
      </c>
      <c r="F538" s="70"/>
      <c r="G538" s="72"/>
      <c r="H538" s="296" t="s">
        <v>81</v>
      </c>
      <c r="I538" s="297" t="s">
        <v>66</v>
      </c>
      <c r="K538" s="247"/>
      <c r="L538" s="247"/>
    </row>
    <row r="539">
      <c r="A539" s="248"/>
      <c r="D539" s="251" t="s">
        <v>118</v>
      </c>
      <c r="E539" s="251">
        <v>1.0</v>
      </c>
      <c r="F539" s="253"/>
      <c r="G539" s="253"/>
      <c r="H539" s="254" t="s">
        <v>323</v>
      </c>
      <c r="I539" s="255" t="s">
        <v>106</v>
      </c>
      <c r="K539" s="247"/>
      <c r="L539" s="247"/>
    </row>
    <row r="540">
      <c r="A540" s="259"/>
      <c r="B540" s="260"/>
      <c r="C540" s="260"/>
      <c r="D540" s="415" t="s">
        <v>124</v>
      </c>
      <c r="E540" s="416">
        <v>1.0</v>
      </c>
      <c r="F540" s="417"/>
      <c r="G540" s="418"/>
      <c r="H540" s="418" t="s">
        <v>125</v>
      </c>
      <c r="I540" s="281" t="s">
        <v>106</v>
      </c>
      <c r="K540" s="247"/>
      <c r="L540" s="247"/>
    </row>
    <row r="541">
      <c r="A541" s="261" t="s">
        <v>542</v>
      </c>
      <c r="B541" s="262" t="s">
        <v>543</v>
      </c>
      <c r="C541" s="263">
        <f>sum(E541:E544)</f>
        <v>9</v>
      </c>
      <c r="D541" s="510" t="s">
        <v>71</v>
      </c>
      <c r="E541" s="510">
        <v>2.0</v>
      </c>
      <c r="F541" s="63"/>
      <c r="G541" s="65"/>
      <c r="H541" s="550" t="s">
        <v>72</v>
      </c>
      <c r="I541" s="511" t="s">
        <v>66</v>
      </c>
      <c r="K541" s="247"/>
      <c r="L541" s="247"/>
    </row>
    <row r="542">
      <c r="A542" s="248"/>
      <c r="D542" s="321" t="s">
        <v>102</v>
      </c>
      <c r="E542" s="322">
        <v>2.0</v>
      </c>
      <c r="F542" s="323"/>
      <c r="G542" s="324"/>
      <c r="H542" s="324" t="s">
        <v>103</v>
      </c>
      <c r="I542" s="325" t="s">
        <v>99</v>
      </c>
      <c r="K542" s="247"/>
      <c r="L542" s="247"/>
    </row>
    <row r="543">
      <c r="A543" s="248"/>
      <c r="D543" s="251" t="s">
        <v>163</v>
      </c>
      <c r="E543" s="251">
        <v>2.0</v>
      </c>
      <c r="F543" s="256"/>
      <c r="G543" s="252"/>
      <c r="H543" s="294" t="s">
        <v>165</v>
      </c>
      <c r="I543" s="255" t="s">
        <v>164</v>
      </c>
      <c r="K543" s="247"/>
      <c r="L543" s="247"/>
    </row>
    <row r="544">
      <c r="A544" s="259"/>
      <c r="B544" s="260"/>
      <c r="C544" s="260"/>
      <c r="D544" s="314" t="s">
        <v>176</v>
      </c>
      <c r="E544" s="314">
        <v>3.0</v>
      </c>
      <c r="F544" s="316"/>
      <c r="G544" s="316"/>
      <c r="H544" s="280" t="s">
        <v>290</v>
      </c>
      <c r="I544" s="281" t="s">
        <v>177</v>
      </c>
      <c r="K544" s="247"/>
      <c r="L544" s="247"/>
    </row>
    <row r="545">
      <c r="A545" s="261" t="s">
        <v>544</v>
      </c>
      <c r="B545" s="262" t="s">
        <v>545</v>
      </c>
      <c r="C545" s="263">
        <f>sum(E545:E548)</f>
        <v>9</v>
      </c>
      <c r="D545" s="304" t="s">
        <v>176</v>
      </c>
      <c r="E545" s="304">
        <v>3.0</v>
      </c>
      <c r="F545" s="305"/>
      <c r="G545" s="305"/>
      <c r="H545" s="285" t="s">
        <v>290</v>
      </c>
      <c r="I545" s="286" t="s">
        <v>177</v>
      </c>
      <c r="K545" s="247"/>
      <c r="L545" s="247"/>
    </row>
    <row r="546">
      <c r="A546" s="248"/>
      <c r="D546" s="251" t="s">
        <v>173</v>
      </c>
      <c r="E546" s="251">
        <v>1.0</v>
      </c>
      <c r="F546" s="252"/>
      <c r="G546" s="253"/>
      <c r="H546" s="254" t="s">
        <v>422</v>
      </c>
      <c r="I546" s="255" t="s">
        <v>164</v>
      </c>
      <c r="K546" s="247"/>
      <c r="L546" s="247"/>
    </row>
    <row r="547">
      <c r="A547" s="248"/>
      <c r="D547" s="306" t="s">
        <v>157</v>
      </c>
      <c r="E547" s="306">
        <v>2.0</v>
      </c>
      <c r="F547" s="274"/>
      <c r="G547" s="274"/>
      <c r="H547" s="275" t="s">
        <v>158</v>
      </c>
      <c r="I547" s="287" t="s">
        <v>145</v>
      </c>
      <c r="K547" s="247"/>
      <c r="L547" s="247"/>
    </row>
    <row r="548">
      <c r="A548" s="259"/>
      <c r="B548" s="260"/>
      <c r="C548" s="260"/>
      <c r="D548" s="277" t="s">
        <v>65</v>
      </c>
      <c r="E548" s="277">
        <v>3.0</v>
      </c>
      <c r="F548" s="278"/>
      <c r="G548" s="279"/>
      <c r="H548" s="280" t="s">
        <v>284</v>
      </c>
      <c r="I548" s="281" t="s">
        <v>66</v>
      </c>
      <c r="K548" s="247"/>
      <c r="L548" s="247"/>
    </row>
    <row r="549">
      <c r="A549" s="328" t="s">
        <v>546</v>
      </c>
      <c r="B549" s="329" t="s">
        <v>547</v>
      </c>
      <c r="C549" s="282">
        <f>sum(E549:E553)</f>
        <v>9</v>
      </c>
      <c r="D549" s="264" t="s">
        <v>56</v>
      </c>
      <c r="E549" s="264">
        <v>1.0</v>
      </c>
      <c r="F549" s="283"/>
      <c r="G549" s="284"/>
      <c r="H549" s="285" t="s">
        <v>57</v>
      </c>
      <c r="I549" s="286" t="s">
        <v>44</v>
      </c>
      <c r="K549" s="247"/>
      <c r="L549" s="247"/>
    </row>
    <row r="550">
      <c r="A550" s="248"/>
      <c r="D550" s="357" t="s">
        <v>548</v>
      </c>
      <c r="E550" s="357">
        <v>3.0</v>
      </c>
      <c r="F550" s="253"/>
      <c r="G550" s="3"/>
      <c r="H550" s="254" t="s">
        <v>17</v>
      </c>
      <c r="I550" s="255" t="s">
        <v>8</v>
      </c>
      <c r="K550" s="247"/>
      <c r="L550" s="247"/>
    </row>
    <row r="551">
      <c r="A551" s="248"/>
      <c r="D551" s="251" t="s">
        <v>118</v>
      </c>
      <c r="E551" s="251">
        <v>1.0</v>
      </c>
      <c r="F551" s="253"/>
      <c r="G551" s="253"/>
      <c r="H551" s="254" t="s">
        <v>323</v>
      </c>
      <c r="I551" s="255" t="s">
        <v>106</v>
      </c>
      <c r="K551" s="247"/>
      <c r="L551" s="247"/>
    </row>
    <row r="552">
      <c r="A552" s="248"/>
      <c r="D552" s="251" t="s">
        <v>163</v>
      </c>
      <c r="E552" s="251">
        <v>2.0</v>
      </c>
      <c r="F552" s="256"/>
      <c r="G552" s="258"/>
      <c r="H552" s="254" t="s">
        <v>165</v>
      </c>
      <c r="I552" s="255" t="s">
        <v>164</v>
      </c>
      <c r="K552" s="247"/>
      <c r="L552" s="247"/>
    </row>
    <row r="553">
      <c r="A553" s="259"/>
      <c r="B553" s="260"/>
      <c r="C553" s="260"/>
      <c r="D553" s="277" t="s">
        <v>291</v>
      </c>
      <c r="E553" s="277">
        <v>2.0</v>
      </c>
      <c r="F553" s="278"/>
      <c r="G553" s="279"/>
      <c r="H553" s="280" t="s">
        <v>284</v>
      </c>
      <c r="I553" s="281" t="s">
        <v>66</v>
      </c>
      <c r="K553" s="247"/>
      <c r="L553" s="247"/>
    </row>
    <row r="554">
      <c r="A554" s="328" t="s">
        <v>549</v>
      </c>
      <c r="B554" s="551" t="s">
        <v>550</v>
      </c>
      <c r="C554" s="263">
        <f>sum(E554:E557)</f>
        <v>9</v>
      </c>
      <c r="D554" s="264" t="s">
        <v>163</v>
      </c>
      <c r="E554" s="264">
        <v>2.0</v>
      </c>
      <c r="F554" s="374"/>
      <c r="G554" s="305"/>
      <c r="H554" s="285" t="s">
        <v>165</v>
      </c>
      <c r="I554" s="286" t="s">
        <v>164</v>
      </c>
      <c r="K554" s="247"/>
      <c r="L554" s="247"/>
    </row>
    <row r="555">
      <c r="A555" s="248"/>
      <c r="D555" s="251" t="s">
        <v>18</v>
      </c>
      <c r="E555" s="251">
        <v>2.0</v>
      </c>
      <c r="F555" s="252"/>
      <c r="G555" s="253"/>
      <c r="H555" s="407" t="s">
        <v>322</v>
      </c>
      <c r="I555" s="255" t="s">
        <v>8</v>
      </c>
      <c r="K555" s="247"/>
      <c r="L555" s="247"/>
    </row>
    <row r="556">
      <c r="A556" s="248"/>
      <c r="D556" s="251" t="s">
        <v>148</v>
      </c>
      <c r="E556" s="251">
        <v>3.0</v>
      </c>
      <c r="F556" s="306"/>
      <c r="G556" s="306"/>
      <c r="H556" s="293" t="s">
        <v>146</v>
      </c>
      <c r="I556" s="287" t="s">
        <v>145</v>
      </c>
      <c r="K556" s="247"/>
      <c r="L556" s="247"/>
    </row>
    <row r="557">
      <c r="A557" s="259"/>
      <c r="B557" s="260"/>
      <c r="C557" s="260"/>
      <c r="D557" s="277" t="s">
        <v>291</v>
      </c>
      <c r="E557" s="277">
        <v>2.0</v>
      </c>
      <c r="F557" s="278"/>
      <c r="G557" s="279"/>
      <c r="H557" s="280" t="s">
        <v>284</v>
      </c>
      <c r="I557" s="281" t="s">
        <v>66</v>
      </c>
      <c r="K557" s="247"/>
      <c r="L557" s="247"/>
    </row>
    <row r="558">
      <c r="A558" s="261" t="s">
        <v>551</v>
      </c>
      <c r="B558" s="262" t="s">
        <v>552</v>
      </c>
      <c r="C558" s="263">
        <f>sum(E558:E561)</f>
        <v>9</v>
      </c>
      <c r="D558" s="265" t="s">
        <v>157</v>
      </c>
      <c r="E558" s="265">
        <v>2.0</v>
      </c>
      <c r="F558" s="332"/>
      <c r="G558" s="332"/>
      <c r="H558" s="333" t="s">
        <v>158</v>
      </c>
      <c r="I558" s="267" t="s">
        <v>145</v>
      </c>
      <c r="K558" s="247"/>
      <c r="L558" s="247"/>
    </row>
    <row r="559">
      <c r="A559" s="248"/>
      <c r="D559" s="357" t="s">
        <v>176</v>
      </c>
      <c r="E559" s="357">
        <v>3.0</v>
      </c>
      <c r="F559" s="253"/>
      <c r="G559" s="253"/>
      <c r="H559" s="254" t="s">
        <v>290</v>
      </c>
      <c r="I559" s="255" t="s">
        <v>177</v>
      </c>
      <c r="K559" s="247"/>
      <c r="L559" s="247"/>
    </row>
    <row r="560">
      <c r="A560" s="248"/>
      <c r="D560" s="251" t="s">
        <v>167</v>
      </c>
      <c r="E560" s="251">
        <v>2.0</v>
      </c>
      <c r="F560" s="306"/>
      <c r="G560" s="306"/>
      <c r="H560" s="293" t="s">
        <v>168</v>
      </c>
      <c r="I560" s="255" t="s">
        <v>164</v>
      </c>
      <c r="K560" s="247"/>
      <c r="L560" s="247"/>
    </row>
    <row r="561">
      <c r="A561" s="259"/>
      <c r="B561" s="260"/>
      <c r="C561" s="260"/>
      <c r="D561" s="277" t="s">
        <v>23</v>
      </c>
      <c r="E561" s="277">
        <v>2.0</v>
      </c>
      <c r="F561" s="365"/>
      <c r="G561" s="316"/>
      <c r="H561" s="280" t="s">
        <v>308</v>
      </c>
      <c r="I561" s="281" t="s">
        <v>24</v>
      </c>
      <c r="K561" s="247"/>
      <c r="L561" s="247"/>
    </row>
    <row r="562">
      <c r="A562" s="541" t="s">
        <v>553</v>
      </c>
      <c r="B562" s="476" t="s">
        <v>543</v>
      </c>
      <c r="C562" s="263">
        <f>sum(E562:E566)</f>
        <v>9</v>
      </c>
      <c r="D562" s="265" t="s">
        <v>98</v>
      </c>
      <c r="E562" s="265">
        <v>2.0</v>
      </c>
      <c r="F562" s="332"/>
      <c r="G562" s="332"/>
      <c r="H562" s="333" t="s">
        <v>100</v>
      </c>
      <c r="I562" s="286" t="s">
        <v>99</v>
      </c>
      <c r="K562" s="247"/>
      <c r="L562" s="247"/>
    </row>
    <row r="563">
      <c r="A563" s="248"/>
      <c r="D563" s="251" t="s">
        <v>167</v>
      </c>
      <c r="E563" s="251">
        <v>2.0</v>
      </c>
      <c r="F563" s="306"/>
      <c r="G563" s="306"/>
      <c r="H563" s="293" t="s">
        <v>168</v>
      </c>
      <c r="I563" s="255" t="s">
        <v>164</v>
      </c>
      <c r="K563" s="247"/>
      <c r="L563" s="247"/>
    </row>
    <row r="564">
      <c r="A564" s="248"/>
      <c r="D564" s="357" t="s">
        <v>176</v>
      </c>
      <c r="E564" s="357">
        <v>3.0</v>
      </c>
      <c r="F564" s="253"/>
      <c r="G564" s="253"/>
      <c r="H564" s="254" t="s">
        <v>290</v>
      </c>
      <c r="I564" s="255" t="s">
        <v>177</v>
      </c>
      <c r="K564" s="247"/>
      <c r="L564" s="247"/>
    </row>
    <row r="565">
      <c r="A565" s="248"/>
      <c r="D565" s="288" t="s">
        <v>190</v>
      </c>
      <c r="E565" s="289">
        <v>1.0</v>
      </c>
      <c r="F565" s="12"/>
      <c r="G565" s="290"/>
      <c r="H565" s="291" t="s">
        <v>191</v>
      </c>
      <c r="I565" s="292" t="s">
        <v>187</v>
      </c>
      <c r="K565" s="247"/>
      <c r="L565" s="247"/>
    </row>
    <row r="566">
      <c r="A566" s="259"/>
      <c r="B566" s="260"/>
      <c r="C566" s="260"/>
      <c r="D566" s="277" t="s">
        <v>141</v>
      </c>
      <c r="E566" s="277">
        <v>1.0</v>
      </c>
      <c r="F566" s="308"/>
      <c r="G566" s="308"/>
      <c r="H566" s="300" t="s">
        <v>142</v>
      </c>
      <c r="I566" s="281" t="s">
        <v>106</v>
      </c>
      <c r="K566" s="247"/>
      <c r="L566" s="247"/>
    </row>
    <row r="567">
      <c r="A567" s="261" t="s">
        <v>554</v>
      </c>
      <c r="B567" s="262" t="s">
        <v>555</v>
      </c>
      <c r="C567" s="263">
        <f>sum(E567:E570)</f>
        <v>9</v>
      </c>
      <c r="D567" s="264" t="s">
        <v>59</v>
      </c>
      <c r="E567" s="264">
        <v>1.0</v>
      </c>
      <c r="F567" s="264"/>
      <c r="G567" s="264"/>
      <c r="H567" s="266" t="s">
        <v>60</v>
      </c>
      <c r="I567" s="286" t="s">
        <v>44</v>
      </c>
      <c r="K567" s="247"/>
      <c r="L567" s="247"/>
    </row>
    <row r="568">
      <c r="A568" s="248"/>
      <c r="D568" s="251" t="s">
        <v>144</v>
      </c>
      <c r="E568" s="251">
        <v>5.0</v>
      </c>
      <c r="F568" s="306"/>
      <c r="G568" s="306"/>
      <c r="H568" s="293" t="s">
        <v>146</v>
      </c>
      <c r="I568" s="287" t="s">
        <v>145</v>
      </c>
      <c r="K568" s="247"/>
      <c r="L568" s="247"/>
    </row>
    <row r="569">
      <c r="A569" s="248"/>
      <c r="D569" s="552" t="s">
        <v>86</v>
      </c>
      <c r="E569" s="552">
        <v>1.0</v>
      </c>
      <c r="F569" s="70"/>
      <c r="G569" s="72"/>
      <c r="H569" s="72" t="s">
        <v>87</v>
      </c>
      <c r="I569" s="307" t="s">
        <v>66</v>
      </c>
      <c r="K569" s="247"/>
      <c r="L569" s="247"/>
    </row>
    <row r="570">
      <c r="A570" s="259"/>
      <c r="B570" s="260"/>
      <c r="C570" s="260"/>
      <c r="D570" s="277" t="s">
        <v>163</v>
      </c>
      <c r="E570" s="277">
        <v>2.0</v>
      </c>
      <c r="F570" s="365"/>
      <c r="G570" s="316"/>
      <c r="H570" s="280" t="s">
        <v>165</v>
      </c>
      <c r="I570" s="281" t="s">
        <v>164</v>
      </c>
      <c r="K570" s="247"/>
      <c r="L570" s="247"/>
    </row>
    <row r="571">
      <c r="A571" s="261" t="s">
        <v>556</v>
      </c>
      <c r="B571" s="262" t="s">
        <v>343</v>
      </c>
      <c r="C571" s="263">
        <f>sum(E571:E577)</f>
        <v>9</v>
      </c>
      <c r="D571" s="553" t="s">
        <v>121</v>
      </c>
      <c r="E571" s="553">
        <v>1.0</v>
      </c>
      <c r="F571" s="518"/>
      <c r="G571" s="332"/>
      <c r="H571" s="333" t="s">
        <v>122</v>
      </c>
      <c r="I571" s="554" t="s">
        <v>106</v>
      </c>
      <c r="K571" s="247"/>
      <c r="L571" s="247"/>
    </row>
    <row r="572">
      <c r="A572" s="248"/>
      <c r="D572" s="251" t="s">
        <v>56</v>
      </c>
      <c r="E572" s="251">
        <v>1.0</v>
      </c>
      <c r="F572" s="252"/>
      <c r="G572" s="253"/>
      <c r="H572" s="254" t="s">
        <v>57</v>
      </c>
      <c r="I572" s="255" t="s">
        <v>44</v>
      </c>
      <c r="K572" s="247"/>
      <c r="L572" s="247"/>
    </row>
    <row r="573">
      <c r="A573" s="248"/>
      <c r="D573" s="251" t="s">
        <v>163</v>
      </c>
      <c r="E573" s="251">
        <v>2.0</v>
      </c>
      <c r="F573" s="256"/>
      <c r="G573" s="253"/>
      <c r="H573" s="254" t="s">
        <v>165</v>
      </c>
      <c r="I573" s="255" t="s">
        <v>164</v>
      </c>
      <c r="K573" s="247"/>
      <c r="L573" s="247"/>
    </row>
    <row r="574">
      <c r="A574" s="248"/>
      <c r="D574" s="251" t="s">
        <v>65</v>
      </c>
      <c r="E574" s="251">
        <v>3.0</v>
      </c>
      <c r="F574" s="252"/>
      <c r="G574" s="253"/>
      <c r="H574" s="254" t="s">
        <v>284</v>
      </c>
      <c r="I574" s="255" t="s">
        <v>66</v>
      </c>
      <c r="K574" s="247"/>
      <c r="L574" s="247"/>
    </row>
    <row r="575">
      <c r="A575" s="248"/>
      <c r="I575" s="331"/>
      <c r="K575" s="247"/>
      <c r="L575" s="247"/>
    </row>
    <row r="576">
      <c r="A576" s="248"/>
      <c r="D576" s="251" t="s">
        <v>285</v>
      </c>
      <c r="E576" s="251">
        <v>1.0</v>
      </c>
      <c r="F576" s="257"/>
      <c r="G576" s="258"/>
      <c r="H576" s="254" t="s">
        <v>116</v>
      </c>
      <c r="I576" s="255" t="s">
        <v>106</v>
      </c>
      <c r="K576" s="247"/>
      <c r="L576" s="247"/>
    </row>
    <row r="577">
      <c r="A577" s="259"/>
      <c r="B577" s="260"/>
      <c r="C577" s="260"/>
      <c r="D577" s="555" t="s">
        <v>40</v>
      </c>
      <c r="E577" s="489">
        <v>1.0</v>
      </c>
      <c r="F577" s="490"/>
      <c r="G577" s="491"/>
      <c r="H577" s="491" t="s">
        <v>41</v>
      </c>
      <c r="I577" s="493" t="s">
        <v>31</v>
      </c>
      <c r="K577" s="247"/>
      <c r="L577" s="247"/>
    </row>
    <row r="578">
      <c r="A578" s="261" t="s">
        <v>557</v>
      </c>
      <c r="B578" s="262" t="s">
        <v>558</v>
      </c>
      <c r="C578" s="263">
        <f>sum(E578:E583)</f>
        <v>9</v>
      </c>
      <c r="D578" s="319" t="s">
        <v>77</v>
      </c>
      <c r="E578" s="319">
        <v>2.0</v>
      </c>
      <c r="F578" s="63"/>
      <c r="G578" s="64"/>
      <c r="H578" s="64" t="s">
        <v>78</v>
      </c>
      <c r="I578" s="320" t="s">
        <v>66</v>
      </c>
      <c r="K578" s="247"/>
      <c r="L578" s="247"/>
    </row>
    <row r="579">
      <c r="A579" s="248"/>
      <c r="D579" s="251" t="s">
        <v>59</v>
      </c>
      <c r="E579" s="251">
        <v>1.0</v>
      </c>
      <c r="F579" s="251"/>
      <c r="G579" s="251"/>
      <c r="H579" s="293" t="s">
        <v>60</v>
      </c>
      <c r="I579" s="255" t="s">
        <v>44</v>
      </c>
      <c r="K579" s="247"/>
      <c r="L579" s="247"/>
    </row>
    <row r="580">
      <c r="A580" s="248"/>
      <c r="D580" s="306" t="s">
        <v>98</v>
      </c>
      <c r="E580" s="306">
        <v>2.0</v>
      </c>
      <c r="F580" s="274"/>
      <c r="G580" s="274"/>
      <c r="H580" s="275" t="s">
        <v>100</v>
      </c>
      <c r="I580" s="255" t="s">
        <v>99</v>
      </c>
      <c r="K580" s="247"/>
      <c r="L580" s="247"/>
    </row>
    <row r="581">
      <c r="A581" s="248"/>
      <c r="D581" s="251" t="s">
        <v>160</v>
      </c>
      <c r="E581" s="251">
        <v>1.0</v>
      </c>
      <c r="F581" s="306"/>
      <c r="G581" s="306"/>
      <c r="H581" s="254" t="s">
        <v>161</v>
      </c>
      <c r="I581" s="287" t="s">
        <v>145</v>
      </c>
      <c r="K581" s="247"/>
      <c r="L581" s="247"/>
    </row>
    <row r="582">
      <c r="A582" s="248"/>
      <c r="D582" s="251" t="s">
        <v>163</v>
      </c>
      <c r="E582" s="251">
        <v>2.0</v>
      </c>
      <c r="F582" s="256"/>
      <c r="G582" s="253"/>
      <c r="H582" s="254" t="s">
        <v>165</v>
      </c>
      <c r="I582" s="255" t="s">
        <v>164</v>
      </c>
      <c r="K582" s="247"/>
      <c r="L582" s="247"/>
    </row>
    <row r="583">
      <c r="A583" s="259"/>
      <c r="B583" s="260"/>
      <c r="C583" s="260"/>
      <c r="D583" s="277" t="s">
        <v>141</v>
      </c>
      <c r="E583" s="277">
        <v>1.0</v>
      </c>
      <c r="F583" s="308"/>
      <c r="G583" s="308"/>
      <c r="H583" s="300" t="s">
        <v>142</v>
      </c>
      <c r="I583" s="281" t="s">
        <v>106</v>
      </c>
      <c r="K583" s="247"/>
      <c r="L583" s="247"/>
    </row>
    <row r="584">
      <c r="A584" s="302" t="s">
        <v>559</v>
      </c>
      <c r="B584" s="262" t="s">
        <v>341</v>
      </c>
      <c r="C584" s="263">
        <f>sum(E584:E588)</f>
        <v>9</v>
      </c>
      <c r="D584" s="264" t="s">
        <v>406</v>
      </c>
      <c r="E584" s="264">
        <v>3.0</v>
      </c>
      <c r="F584" s="330"/>
      <c r="G584" s="305"/>
      <c r="H584" s="285" t="s">
        <v>32</v>
      </c>
      <c r="I584" s="428" t="s">
        <v>31</v>
      </c>
      <c r="K584" s="247"/>
      <c r="L584" s="247"/>
    </row>
    <row r="585">
      <c r="A585" s="248"/>
      <c r="D585" s="298" t="s">
        <v>77</v>
      </c>
      <c r="E585" s="298">
        <v>2.0</v>
      </c>
      <c r="F585" s="70"/>
      <c r="G585" s="71"/>
      <c r="H585" s="71" t="s">
        <v>78</v>
      </c>
      <c r="I585" s="307" t="s">
        <v>66</v>
      </c>
      <c r="K585" s="247"/>
      <c r="L585" s="247"/>
    </row>
    <row r="586">
      <c r="A586" s="248"/>
      <c r="D586" s="306" t="s">
        <v>62</v>
      </c>
      <c r="E586" s="306">
        <v>1.0</v>
      </c>
      <c r="F586" s="274"/>
      <c r="G586" s="274"/>
      <c r="H586" s="275" t="s">
        <v>63</v>
      </c>
      <c r="I586" s="255" t="s">
        <v>44</v>
      </c>
      <c r="K586" s="247"/>
      <c r="L586" s="247"/>
    </row>
    <row r="587">
      <c r="A587" s="248"/>
      <c r="D587" s="251" t="s">
        <v>160</v>
      </c>
      <c r="E587" s="251">
        <v>1.0</v>
      </c>
      <c r="F587" s="306"/>
      <c r="G587" s="306"/>
      <c r="H587" s="254" t="s">
        <v>161</v>
      </c>
      <c r="I587" s="287" t="s">
        <v>145</v>
      </c>
      <c r="K587" s="247"/>
      <c r="L587" s="247"/>
    </row>
    <row r="588">
      <c r="A588" s="259"/>
      <c r="B588" s="260"/>
      <c r="C588" s="260"/>
      <c r="D588" s="277" t="s">
        <v>163</v>
      </c>
      <c r="E588" s="277">
        <v>2.0</v>
      </c>
      <c r="F588" s="365"/>
      <c r="G588" s="315"/>
      <c r="H588" s="466" t="s">
        <v>165</v>
      </c>
      <c r="I588" s="281" t="s">
        <v>164</v>
      </c>
      <c r="K588" s="247"/>
      <c r="L588" s="247"/>
    </row>
    <row r="589">
      <c r="A589" s="328" t="s">
        <v>560</v>
      </c>
      <c r="B589" s="476" t="s">
        <v>561</v>
      </c>
      <c r="C589" s="263">
        <f>sum(E589:E594)</f>
        <v>9</v>
      </c>
      <c r="D589" s="556" t="s">
        <v>86</v>
      </c>
      <c r="E589" s="556">
        <v>1.0</v>
      </c>
      <c r="F589" s="63"/>
      <c r="G589" s="65"/>
      <c r="H589" s="65" t="s">
        <v>87</v>
      </c>
      <c r="I589" s="320" t="s">
        <v>66</v>
      </c>
      <c r="K589" s="247"/>
      <c r="L589" s="247"/>
    </row>
    <row r="590">
      <c r="A590" s="248"/>
      <c r="D590" s="251" t="s">
        <v>163</v>
      </c>
      <c r="E590" s="251">
        <v>2.0</v>
      </c>
      <c r="F590" s="256"/>
      <c r="G590" s="253"/>
      <c r="H590" s="254" t="s">
        <v>165</v>
      </c>
      <c r="I590" s="255" t="s">
        <v>164</v>
      </c>
      <c r="K590" s="247"/>
      <c r="L590" s="247"/>
    </row>
    <row r="591">
      <c r="A591" s="248"/>
      <c r="D591" s="251" t="s">
        <v>141</v>
      </c>
      <c r="E591" s="251">
        <v>1.0</v>
      </c>
      <c r="F591" s="364"/>
      <c r="G591" s="364"/>
      <c r="H591" s="293" t="s">
        <v>142</v>
      </c>
      <c r="I591" s="255" t="s">
        <v>106</v>
      </c>
      <c r="K591" s="247"/>
      <c r="L591" s="247"/>
    </row>
    <row r="592">
      <c r="A592" s="248"/>
      <c r="D592" s="251" t="s">
        <v>118</v>
      </c>
      <c r="E592" s="251">
        <v>1.0</v>
      </c>
      <c r="F592" s="253"/>
      <c r="G592" s="253"/>
      <c r="H592" s="254" t="s">
        <v>323</v>
      </c>
      <c r="I592" s="255" t="s">
        <v>106</v>
      </c>
      <c r="K592" s="247"/>
      <c r="L592" s="247"/>
    </row>
    <row r="593">
      <c r="A593" s="248"/>
      <c r="D593" s="306" t="s">
        <v>157</v>
      </c>
      <c r="E593" s="306">
        <v>2.0</v>
      </c>
      <c r="F593" s="274"/>
      <c r="G593" s="274"/>
      <c r="H593" s="275" t="s">
        <v>158</v>
      </c>
      <c r="I593" s="287" t="s">
        <v>145</v>
      </c>
      <c r="K593" s="247"/>
      <c r="L593" s="247"/>
    </row>
    <row r="594">
      <c r="A594" s="259"/>
      <c r="B594" s="260"/>
      <c r="C594" s="260"/>
      <c r="D594" s="277" t="s">
        <v>23</v>
      </c>
      <c r="E594" s="277">
        <v>2.0</v>
      </c>
      <c r="F594" s="365"/>
      <c r="G594" s="316"/>
      <c r="H594" s="280" t="s">
        <v>308</v>
      </c>
      <c r="I594" s="281" t="s">
        <v>24</v>
      </c>
      <c r="K594" s="247"/>
      <c r="L594" s="247"/>
    </row>
    <row r="595">
      <c r="A595" s="261" t="s">
        <v>562</v>
      </c>
      <c r="B595" s="262" t="s">
        <v>563</v>
      </c>
      <c r="C595" s="263">
        <f>sum(E595:E600)</f>
        <v>9</v>
      </c>
      <c r="D595" s="264" t="s">
        <v>331</v>
      </c>
      <c r="E595" s="264">
        <v>2.0</v>
      </c>
      <c r="F595" s="330"/>
      <c r="G595" s="305"/>
      <c r="H595" s="285" t="s">
        <v>332</v>
      </c>
      <c r="I595" s="286" t="s">
        <v>8</v>
      </c>
      <c r="K595" s="247"/>
      <c r="L595" s="247"/>
    </row>
    <row r="596">
      <c r="A596" s="248"/>
      <c r="D596" s="251" t="s">
        <v>56</v>
      </c>
      <c r="E596" s="251">
        <v>1.0</v>
      </c>
      <c r="F596" s="252"/>
      <c r="G596" s="253"/>
      <c r="H596" s="254" t="s">
        <v>57</v>
      </c>
      <c r="I596" s="255" t="s">
        <v>44</v>
      </c>
      <c r="K596" s="247"/>
      <c r="L596" s="247"/>
    </row>
    <row r="597">
      <c r="A597" s="248"/>
      <c r="D597" s="251" t="s">
        <v>291</v>
      </c>
      <c r="E597" s="251">
        <v>2.0</v>
      </c>
      <c r="F597" s="257"/>
      <c r="G597" s="258"/>
      <c r="H597" s="254" t="s">
        <v>284</v>
      </c>
      <c r="I597" s="255" t="s">
        <v>66</v>
      </c>
      <c r="K597" s="247"/>
      <c r="L597" s="247"/>
    </row>
    <row r="598">
      <c r="A598" s="248"/>
      <c r="D598" s="306" t="s">
        <v>98</v>
      </c>
      <c r="E598" s="306">
        <v>2.0</v>
      </c>
      <c r="F598" s="274"/>
      <c r="G598" s="274"/>
      <c r="H598" s="275" t="s">
        <v>100</v>
      </c>
      <c r="I598" s="255" t="s">
        <v>99</v>
      </c>
      <c r="K598" s="247"/>
      <c r="L598" s="247"/>
    </row>
    <row r="599">
      <c r="A599" s="248"/>
      <c r="D599" s="557" t="s">
        <v>170</v>
      </c>
      <c r="E599" s="557">
        <v>1.0</v>
      </c>
      <c r="F599" s="151"/>
      <c r="G599" s="152"/>
      <c r="H599" s="152" t="s">
        <v>171</v>
      </c>
      <c r="I599" s="558" t="s">
        <v>164</v>
      </c>
      <c r="K599" s="247"/>
      <c r="L599" s="247"/>
    </row>
    <row r="600">
      <c r="A600" s="259"/>
      <c r="B600" s="260"/>
      <c r="C600" s="260"/>
      <c r="D600" s="452" t="s">
        <v>190</v>
      </c>
      <c r="E600" s="461">
        <v>1.0</v>
      </c>
      <c r="F600" s="462"/>
      <c r="G600" s="463"/>
      <c r="H600" s="464" t="s">
        <v>191</v>
      </c>
      <c r="I600" s="465" t="s">
        <v>187</v>
      </c>
      <c r="K600" s="247"/>
      <c r="L600" s="247"/>
    </row>
    <row r="601">
      <c r="A601" s="261" t="s">
        <v>564</v>
      </c>
      <c r="B601" s="262" t="s">
        <v>565</v>
      </c>
      <c r="C601" s="263">
        <f>sum(E601:E606)</f>
        <v>9</v>
      </c>
      <c r="D601" s="304" t="s">
        <v>566</v>
      </c>
      <c r="E601" s="264">
        <v>3.0</v>
      </c>
      <c r="F601" s="330"/>
      <c r="G601" s="305"/>
      <c r="H601" s="559" t="s">
        <v>567</v>
      </c>
      <c r="I601" s="560" t="s">
        <v>106</v>
      </c>
    </row>
    <row r="602">
      <c r="A602" s="248"/>
      <c r="D602" s="357" t="s">
        <v>568</v>
      </c>
      <c r="E602" s="251">
        <v>1.0</v>
      </c>
      <c r="F602" s="252"/>
      <c r="G602" s="253"/>
      <c r="H602" s="254" t="s">
        <v>569</v>
      </c>
      <c r="I602" s="355" t="s">
        <v>106</v>
      </c>
    </row>
    <row r="603">
      <c r="A603" s="248"/>
      <c r="D603" s="361" t="s">
        <v>124</v>
      </c>
      <c r="E603" s="362">
        <v>1.0</v>
      </c>
      <c r="F603" s="105"/>
      <c r="G603" s="114"/>
      <c r="H603" s="114" t="s">
        <v>125</v>
      </c>
      <c r="I603" s="255" t="s">
        <v>106</v>
      </c>
    </row>
    <row r="604">
      <c r="A604" s="248"/>
      <c r="D604" s="273" t="s">
        <v>121</v>
      </c>
      <c r="E604" s="273">
        <v>1.0</v>
      </c>
      <c r="F604" s="3"/>
      <c r="G604" s="274"/>
      <c r="H604" s="275" t="s">
        <v>122</v>
      </c>
      <c r="I604" s="276" t="s">
        <v>106</v>
      </c>
    </row>
    <row r="605">
      <c r="A605" s="248"/>
      <c r="D605" s="251" t="s">
        <v>285</v>
      </c>
      <c r="E605" s="251">
        <v>1.0</v>
      </c>
      <c r="F605" s="257"/>
      <c r="G605" s="258"/>
      <c r="H605" s="254" t="s">
        <v>116</v>
      </c>
      <c r="I605" s="255" t="s">
        <v>106</v>
      </c>
    </row>
    <row r="606">
      <c r="A606" s="259"/>
      <c r="B606" s="260"/>
      <c r="C606" s="260"/>
      <c r="D606" s="338" t="s">
        <v>151</v>
      </c>
      <c r="E606" s="338">
        <v>2.0</v>
      </c>
      <c r="F606" s="339"/>
      <c r="G606" s="339"/>
      <c r="H606" s="339" t="s">
        <v>152</v>
      </c>
      <c r="I606" s="342" t="s">
        <v>145</v>
      </c>
    </row>
    <row r="607">
      <c r="A607" s="261" t="s">
        <v>570</v>
      </c>
      <c r="B607" s="476" t="s">
        <v>571</v>
      </c>
      <c r="C607" s="263">
        <f>sum(E607:E611)</f>
        <v>9</v>
      </c>
      <c r="D607" s="264" t="s">
        <v>331</v>
      </c>
      <c r="E607" s="264">
        <v>2.0</v>
      </c>
      <c r="F607" s="330"/>
      <c r="G607" s="305"/>
      <c r="H607" s="285" t="s">
        <v>332</v>
      </c>
      <c r="I607" s="286" t="s">
        <v>8</v>
      </c>
    </row>
    <row r="608">
      <c r="A608" s="248"/>
      <c r="D608" s="249" t="s">
        <v>180</v>
      </c>
      <c r="E608" s="244">
        <v>3.0</v>
      </c>
      <c r="F608" s="172"/>
      <c r="G608" s="173"/>
      <c r="H608" s="250" t="s">
        <v>181</v>
      </c>
      <c r="I608" s="246" t="s">
        <v>177</v>
      </c>
    </row>
    <row r="609">
      <c r="A609" s="248"/>
      <c r="D609" s="306" t="s">
        <v>98</v>
      </c>
      <c r="E609" s="306">
        <v>2.0</v>
      </c>
      <c r="F609" s="274"/>
      <c r="G609" s="274"/>
      <c r="H609" s="275" t="s">
        <v>100</v>
      </c>
      <c r="I609" s="255" t="s">
        <v>99</v>
      </c>
    </row>
    <row r="610">
      <c r="A610" s="248"/>
      <c r="D610" s="251" t="s">
        <v>132</v>
      </c>
      <c r="E610" s="251">
        <v>1.0</v>
      </c>
      <c r="F610" s="252"/>
      <c r="G610" s="253"/>
      <c r="H610" s="254" t="s">
        <v>133</v>
      </c>
      <c r="I610" s="255" t="s">
        <v>106</v>
      </c>
    </row>
    <row r="611">
      <c r="A611" s="259"/>
      <c r="B611" s="260"/>
      <c r="C611" s="260"/>
      <c r="D611" s="277" t="s">
        <v>135</v>
      </c>
      <c r="E611" s="277">
        <v>1.0</v>
      </c>
      <c r="F611" s="315"/>
      <c r="G611" s="316"/>
      <c r="H611" s="280" t="s">
        <v>136</v>
      </c>
      <c r="I611" s="281" t="s">
        <v>106</v>
      </c>
    </row>
    <row r="612">
      <c r="A612" s="302" t="s">
        <v>572</v>
      </c>
      <c r="B612" s="303" t="s">
        <v>417</v>
      </c>
      <c r="C612" s="263">
        <f>sum(E612:E615)</f>
        <v>9</v>
      </c>
      <c r="D612" s="264" t="s">
        <v>23</v>
      </c>
      <c r="E612" s="264">
        <v>2.0</v>
      </c>
      <c r="F612" s="374"/>
      <c r="G612" s="305"/>
      <c r="H612" s="285" t="s">
        <v>308</v>
      </c>
      <c r="I612" s="286" t="s">
        <v>24</v>
      </c>
    </row>
    <row r="613">
      <c r="A613" s="248"/>
      <c r="D613" s="251" t="s">
        <v>406</v>
      </c>
      <c r="E613" s="251">
        <v>3.0</v>
      </c>
      <c r="F613" s="252"/>
      <c r="G613" s="253"/>
      <c r="H613" s="254" t="s">
        <v>32</v>
      </c>
      <c r="I613" s="336" t="s">
        <v>31</v>
      </c>
    </row>
    <row r="614">
      <c r="A614" s="248"/>
      <c r="D614" s="251" t="s">
        <v>291</v>
      </c>
      <c r="E614" s="251">
        <v>2.0</v>
      </c>
      <c r="F614" s="257"/>
      <c r="G614" s="258"/>
      <c r="H614" s="254" t="s">
        <v>284</v>
      </c>
      <c r="I614" s="255" t="s">
        <v>66</v>
      </c>
    </row>
    <row r="615">
      <c r="A615" s="259"/>
      <c r="B615" s="260"/>
      <c r="C615" s="260"/>
      <c r="D615" s="277" t="s">
        <v>163</v>
      </c>
      <c r="E615" s="277">
        <v>2.0</v>
      </c>
      <c r="F615" s="365"/>
      <c r="G615" s="316"/>
      <c r="H615" s="280" t="s">
        <v>165</v>
      </c>
      <c r="I615" s="281" t="s">
        <v>164</v>
      </c>
    </row>
    <row r="616">
      <c r="A616" s="302" t="s">
        <v>573</v>
      </c>
      <c r="B616" s="476" t="s">
        <v>338</v>
      </c>
      <c r="C616" s="263">
        <f>sum(E616:E619)</f>
        <v>9</v>
      </c>
      <c r="D616" s="264" t="s">
        <v>163</v>
      </c>
      <c r="E616" s="264">
        <v>2.0</v>
      </c>
      <c r="F616" s="374"/>
      <c r="G616" s="305"/>
      <c r="H616" s="285" t="s">
        <v>165</v>
      </c>
      <c r="I616" s="286" t="s">
        <v>164</v>
      </c>
    </row>
    <row r="617">
      <c r="A617" s="248"/>
      <c r="D617" s="251" t="s">
        <v>285</v>
      </c>
      <c r="E617" s="251">
        <v>1.0</v>
      </c>
      <c r="F617" s="257"/>
      <c r="G617" s="258"/>
      <c r="H617" s="254" t="s">
        <v>116</v>
      </c>
      <c r="I617" s="255" t="s">
        <v>106</v>
      </c>
    </row>
    <row r="618">
      <c r="A618" s="248"/>
      <c r="D618" s="298" t="s">
        <v>144</v>
      </c>
      <c r="E618" s="251">
        <v>5.0</v>
      </c>
      <c r="F618" s="306"/>
      <c r="G618" s="306"/>
      <c r="H618" s="293" t="s">
        <v>146</v>
      </c>
      <c r="I618" s="287" t="s">
        <v>145</v>
      </c>
    </row>
    <row r="619">
      <c r="A619" s="259"/>
      <c r="B619" s="260"/>
      <c r="C619" s="260"/>
      <c r="D619" s="489" t="s">
        <v>37</v>
      </c>
      <c r="E619" s="489">
        <v>1.0</v>
      </c>
      <c r="F619" s="490"/>
      <c r="G619" s="491"/>
      <c r="H619" s="492" t="s">
        <v>38</v>
      </c>
      <c r="I619" s="493" t="s">
        <v>31</v>
      </c>
    </row>
    <row r="620">
      <c r="A620" s="519" t="s">
        <v>574</v>
      </c>
      <c r="B620" s="476" t="s">
        <v>575</v>
      </c>
      <c r="C620" s="263">
        <f>sum(E620:E624)</f>
        <v>9</v>
      </c>
      <c r="D620" s="561" t="s">
        <v>130</v>
      </c>
      <c r="E620" s="561">
        <v>1.0</v>
      </c>
      <c r="F620" s="504"/>
      <c r="G620" s="562"/>
      <c r="H620" s="563" t="s">
        <v>131</v>
      </c>
      <c r="I620" s="560" t="s">
        <v>106</v>
      </c>
    </row>
    <row r="621">
      <c r="A621" s="248"/>
      <c r="D621" s="251" t="s">
        <v>20</v>
      </c>
      <c r="E621" s="251">
        <v>2.0</v>
      </c>
      <c r="F621" s="252"/>
      <c r="G621" s="253"/>
      <c r="H621" s="254" t="s">
        <v>21</v>
      </c>
      <c r="I621" s="255" t="s">
        <v>8</v>
      </c>
    </row>
    <row r="622">
      <c r="A622" s="248"/>
      <c r="D622" s="251" t="s">
        <v>163</v>
      </c>
      <c r="E622" s="251">
        <v>2.0</v>
      </c>
      <c r="F622" s="256"/>
      <c r="G622" s="252"/>
      <c r="H622" s="294" t="s">
        <v>165</v>
      </c>
      <c r="I622" s="255" t="s">
        <v>164</v>
      </c>
    </row>
    <row r="623">
      <c r="A623" s="248"/>
      <c r="D623" s="251" t="s">
        <v>65</v>
      </c>
      <c r="E623" s="251">
        <v>3.0</v>
      </c>
      <c r="F623" s="257"/>
      <c r="G623" s="258"/>
      <c r="H623" s="254" t="s">
        <v>284</v>
      </c>
      <c r="I623" s="255" t="s">
        <v>66</v>
      </c>
    </row>
    <row r="624">
      <c r="A624" s="259"/>
      <c r="B624" s="260"/>
      <c r="C624" s="260"/>
      <c r="D624" s="452" t="s">
        <v>190</v>
      </c>
      <c r="E624" s="461">
        <v>1.0</v>
      </c>
      <c r="F624" s="462"/>
      <c r="G624" s="463"/>
      <c r="H624" s="464" t="s">
        <v>191</v>
      </c>
      <c r="I624" s="465" t="s">
        <v>187</v>
      </c>
    </row>
    <row r="625">
      <c r="A625" s="302" t="s">
        <v>576</v>
      </c>
      <c r="B625" s="476" t="s">
        <v>577</v>
      </c>
      <c r="C625" s="263">
        <f>sum(E625:E628)</f>
        <v>9</v>
      </c>
      <c r="D625" s="264" t="s">
        <v>291</v>
      </c>
      <c r="E625" s="264">
        <v>2.0</v>
      </c>
      <c r="F625" s="283"/>
      <c r="G625" s="284"/>
      <c r="H625" s="285" t="s">
        <v>284</v>
      </c>
      <c r="I625" s="286" t="s">
        <v>66</v>
      </c>
    </row>
    <row r="626">
      <c r="A626" s="248"/>
      <c r="D626" s="251" t="s">
        <v>144</v>
      </c>
      <c r="E626" s="251">
        <v>5.0</v>
      </c>
      <c r="F626" s="306"/>
      <c r="G626" s="306"/>
      <c r="H626" s="293" t="s">
        <v>146</v>
      </c>
      <c r="I626" s="287" t="s">
        <v>145</v>
      </c>
    </row>
    <row r="627">
      <c r="A627" s="248"/>
      <c r="D627" s="251" t="s">
        <v>285</v>
      </c>
      <c r="E627" s="251">
        <v>1.0</v>
      </c>
      <c r="F627" s="257"/>
      <c r="G627" s="258"/>
      <c r="H627" s="254" t="s">
        <v>116</v>
      </c>
      <c r="I627" s="255" t="s">
        <v>106</v>
      </c>
    </row>
    <row r="628">
      <c r="A628" s="259"/>
      <c r="B628" s="260"/>
      <c r="C628" s="260"/>
      <c r="D628" s="277" t="s">
        <v>118</v>
      </c>
      <c r="E628" s="277">
        <v>1.0</v>
      </c>
      <c r="F628" s="316"/>
      <c r="G628" s="316"/>
      <c r="H628" s="280" t="s">
        <v>323</v>
      </c>
      <c r="I628" s="281" t="s">
        <v>106</v>
      </c>
    </row>
    <row r="629">
      <c r="A629" s="302" t="s">
        <v>578</v>
      </c>
      <c r="B629" s="476" t="s">
        <v>579</v>
      </c>
      <c r="C629" s="263">
        <f>sum(E629:E632)</f>
        <v>9</v>
      </c>
      <c r="D629" s="264" t="s">
        <v>59</v>
      </c>
      <c r="E629" s="264">
        <v>1.0</v>
      </c>
      <c r="F629" s="264"/>
      <c r="G629" s="264"/>
      <c r="H629" s="266" t="s">
        <v>60</v>
      </c>
      <c r="I629" s="286" t="s">
        <v>44</v>
      </c>
    </row>
    <row r="630">
      <c r="A630" s="248"/>
      <c r="D630" s="251" t="s">
        <v>65</v>
      </c>
      <c r="E630" s="251">
        <v>3.0</v>
      </c>
      <c r="F630" s="257"/>
      <c r="G630" s="258"/>
      <c r="H630" s="254" t="s">
        <v>284</v>
      </c>
      <c r="I630" s="255" t="s">
        <v>66</v>
      </c>
    </row>
    <row r="631">
      <c r="A631" s="248"/>
      <c r="D631" s="251" t="s">
        <v>148</v>
      </c>
      <c r="E631" s="251">
        <v>3.0</v>
      </c>
      <c r="F631" s="306"/>
      <c r="G631" s="306"/>
      <c r="H631" s="293" t="s">
        <v>146</v>
      </c>
      <c r="I631" s="287" t="s">
        <v>145</v>
      </c>
    </row>
    <row r="632">
      <c r="A632" s="259"/>
      <c r="B632" s="260"/>
      <c r="C632" s="260"/>
      <c r="D632" s="277" t="s">
        <v>163</v>
      </c>
      <c r="E632" s="277">
        <v>2.0</v>
      </c>
      <c r="F632" s="365"/>
      <c r="G632" s="315"/>
      <c r="H632" s="466" t="s">
        <v>165</v>
      </c>
      <c r="I632" s="281" t="s">
        <v>164</v>
      </c>
    </row>
    <row r="633">
      <c r="A633" s="328" t="s">
        <v>580</v>
      </c>
      <c r="B633" s="329" t="s">
        <v>581</v>
      </c>
      <c r="C633" s="282">
        <f>sum(E633:E635)</f>
        <v>8</v>
      </c>
      <c r="D633" s="264" t="s">
        <v>144</v>
      </c>
      <c r="E633" s="264">
        <v>5.0</v>
      </c>
      <c r="F633" s="265"/>
      <c r="G633" s="265"/>
      <c r="H633" s="266" t="s">
        <v>146</v>
      </c>
      <c r="I633" s="267" t="s">
        <v>145</v>
      </c>
      <c r="K633" s="247"/>
      <c r="L633" s="247"/>
    </row>
    <row r="634">
      <c r="A634" s="248"/>
      <c r="D634" s="251" t="s">
        <v>285</v>
      </c>
      <c r="E634" s="251">
        <v>1.0</v>
      </c>
      <c r="F634" s="257"/>
      <c r="G634" s="258"/>
      <c r="H634" s="254" t="s">
        <v>116</v>
      </c>
      <c r="I634" s="255" t="s">
        <v>106</v>
      </c>
      <c r="K634" s="247"/>
      <c r="L634" s="247"/>
    </row>
    <row r="635">
      <c r="A635" s="248"/>
      <c r="D635" s="251" t="s">
        <v>18</v>
      </c>
      <c r="E635" s="251">
        <v>2.0</v>
      </c>
      <c r="F635" s="252"/>
      <c r="G635" s="253"/>
      <c r="H635" s="407" t="s">
        <v>322</v>
      </c>
      <c r="I635" s="255" t="s">
        <v>8</v>
      </c>
      <c r="K635" s="247"/>
      <c r="L635" s="247"/>
    </row>
    <row r="636">
      <c r="A636" s="302" t="s">
        <v>582</v>
      </c>
      <c r="B636" s="329" t="s">
        <v>295</v>
      </c>
      <c r="C636" s="282">
        <f>sum(E636:AC638)</f>
        <v>8</v>
      </c>
      <c r="D636" s="264" t="s">
        <v>285</v>
      </c>
      <c r="E636" s="264">
        <v>1.0</v>
      </c>
      <c r="F636" s="265"/>
      <c r="G636" s="265"/>
      <c r="H636" s="266" t="s">
        <v>116</v>
      </c>
      <c r="I636" s="286" t="s">
        <v>106</v>
      </c>
      <c r="K636" s="247"/>
      <c r="L636" s="247"/>
    </row>
    <row r="637">
      <c r="A637" s="248"/>
      <c r="D637" s="251" t="s">
        <v>144</v>
      </c>
      <c r="E637" s="251">
        <v>5.0</v>
      </c>
      <c r="F637" s="306"/>
      <c r="G637" s="306"/>
      <c r="H637" s="293" t="s">
        <v>146</v>
      </c>
      <c r="I637" s="287" t="s">
        <v>145</v>
      </c>
      <c r="K637" s="247"/>
      <c r="L637" s="247"/>
    </row>
    <row r="638">
      <c r="A638" s="259"/>
      <c r="B638" s="260"/>
      <c r="C638" s="260"/>
      <c r="D638" s="277" t="s">
        <v>167</v>
      </c>
      <c r="E638" s="277">
        <v>2.0</v>
      </c>
      <c r="F638" s="299"/>
      <c r="G638" s="299"/>
      <c r="H638" s="300" t="s">
        <v>168</v>
      </c>
      <c r="I638" s="255" t="s">
        <v>164</v>
      </c>
      <c r="K638" s="247"/>
      <c r="L638" s="247"/>
    </row>
    <row r="639">
      <c r="A639" s="261" t="s">
        <v>583</v>
      </c>
      <c r="B639" s="262" t="s">
        <v>523</v>
      </c>
      <c r="C639" s="282">
        <f>sum(E639:E641)</f>
        <v>8</v>
      </c>
      <c r="D639" s="264" t="s">
        <v>144</v>
      </c>
      <c r="E639" s="264">
        <v>5.0</v>
      </c>
      <c r="F639" s="265"/>
      <c r="G639" s="265"/>
      <c r="H639" s="266" t="s">
        <v>146</v>
      </c>
      <c r="I639" s="267" t="s">
        <v>145</v>
      </c>
      <c r="K639" s="247"/>
      <c r="L639" s="247"/>
    </row>
    <row r="640">
      <c r="A640" s="248"/>
      <c r="D640" s="251" t="s">
        <v>285</v>
      </c>
      <c r="E640" s="251">
        <v>1.0</v>
      </c>
      <c r="F640" s="257"/>
      <c r="G640" s="257"/>
      <c r="H640" s="294" t="s">
        <v>116</v>
      </c>
      <c r="I640" s="255" t="s">
        <v>106</v>
      </c>
      <c r="K640" s="247"/>
      <c r="L640" s="247"/>
    </row>
    <row r="641">
      <c r="A641" s="259"/>
      <c r="B641" s="260"/>
      <c r="C641" s="260"/>
      <c r="D641" s="277" t="s">
        <v>163</v>
      </c>
      <c r="E641" s="277">
        <v>2.0</v>
      </c>
      <c r="F641" s="365"/>
      <c r="G641" s="315"/>
      <c r="H641" s="466" t="s">
        <v>165</v>
      </c>
      <c r="I641" s="281" t="s">
        <v>164</v>
      </c>
      <c r="K641" s="247"/>
      <c r="L641" s="247"/>
    </row>
    <row r="642">
      <c r="A642" s="564" t="s">
        <v>584</v>
      </c>
      <c r="B642" s="262" t="s">
        <v>585</v>
      </c>
      <c r="C642" s="282">
        <f>sum(E642:E644)</f>
        <v>8</v>
      </c>
      <c r="D642" s="264" t="s">
        <v>144</v>
      </c>
      <c r="E642" s="264">
        <v>5.0</v>
      </c>
      <c r="F642" s="265"/>
      <c r="G642" s="265"/>
      <c r="H642" s="266" t="s">
        <v>146</v>
      </c>
      <c r="I642" s="267" t="s">
        <v>145</v>
      </c>
      <c r="K642" s="247"/>
      <c r="L642" s="247"/>
    </row>
    <row r="643">
      <c r="A643" s="565"/>
      <c r="D643" s="306" t="s">
        <v>157</v>
      </c>
      <c r="E643" s="306">
        <v>2.0</v>
      </c>
      <c r="F643" s="274"/>
      <c r="G643" s="274"/>
      <c r="H643" s="275" t="s">
        <v>158</v>
      </c>
      <c r="I643" s="287" t="s">
        <v>145</v>
      </c>
      <c r="K643" s="247"/>
      <c r="L643" s="247"/>
    </row>
    <row r="644">
      <c r="A644" s="566"/>
      <c r="B644" s="260"/>
      <c r="C644" s="260"/>
      <c r="D644" s="277" t="s">
        <v>285</v>
      </c>
      <c r="E644" s="277">
        <v>1.0</v>
      </c>
      <c r="F644" s="278"/>
      <c r="G644" s="279"/>
      <c r="H644" s="280" t="s">
        <v>116</v>
      </c>
      <c r="I644" s="281" t="s">
        <v>106</v>
      </c>
      <c r="K644" s="247"/>
      <c r="L644" s="247"/>
    </row>
    <row r="645">
      <c r="A645" s="240" t="s">
        <v>586</v>
      </c>
      <c r="B645" s="303" t="s">
        <v>273</v>
      </c>
      <c r="C645" s="282">
        <f>sum(E645:E648)</f>
        <v>8</v>
      </c>
      <c r="D645" s="264" t="s">
        <v>144</v>
      </c>
      <c r="E645" s="264">
        <v>5.0</v>
      </c>
      <c r="F645" s="265"/>
      <c r="G645" s="265"/>
      <c r="H645" s="266" t="s">
        <v>146</v>
      </c>
      <c r="I645" s="267" t="s">
        <v>145</v>
      </c>
      <c r="K645" s="247"/>
      <c r="L645" s="247"/>
    </row>
    <row r="646">
      <c r="A646" s="248"/>
      <c r="D646" s="251" t="s">
        <v>118</v>
      </c>
      <c r="E646" s="251">
        <v>1.0</v>
      </c>
      <c r="F646" s="253"/>
      <c r="G646" s="253"/>
      <c r="H646" s="254" t="s">
        <v>323</v>
      </c>
      <c r="I646" s="255" t="s">
        <v>106</v>
      </c>
      <c r="K646" s="247"/>
      <c r="L646" s="247"/>
    </row>
    <row r="647">
      <c r="A647" s="248"/>
      <c r="D647" s="251" t="s">
        <v>285</v>
      </c>
      <c r="E647" s="251">
        <v>1.0</v>
      </c>
      <c r="F647" s="257"/>
      <c r="G647" s="258"/>
      <c r="H647" s="254" t="s">
        <v>116</v>
      </c>
      <c r="I647" s="255" t="s">
        <v>106</v>
      </c>
      <c r="K647" s="247"/>
      <c r="L647" s="247"/>
    </row>
    <row r="648">
      <c r="A648" s="259"/>
      <c r="B648" s="260"/>
      <c r="C648" s="260"/>
      <c r="D648" s="361" t="s">
        <v>124</v>
      </c>
      <c r="E648" s="362">
        <v>1.0</v>
      </c>
      <c r="F648" s="105"/>
      <c r="G648" s="114"/>
      <c r="H648" s="114" t="s">
        <v>125</v>
      </c>
      <c r="I648" s="255" t="s">
        <v>106</v>
      </c>
      <c r="K648" s="247"/>
      <c r="L648" s="247"/>
    </row>
    <row r="649">
      <c r="A649" s="302" t="s">
        <v>587</v>
      </c>
      <c r="B649" s="329" t="s">
        <v>588</v>
      </c>
      <c r="C649" s="282">
        <f>sum(E649:AC652)</f>
        <v>8</v>
      </c>
      <c r="D649" s="264" t="s">
        <v>285</v>
      </c>
      <c r="E649" s="264">
        <v>1.0</v>
      </c>
      <c r="F649" s="283"/>
      <c r="G649" s="284"/>
      <c r="H649" s="285" t="s">
        <v>116</v>
      </c>
      <c r="I649" s="286" t="s">
        <v>106</v>
      </c>
      <c r="K649" s="247"/>
      <c r="L649" s="247"/>
    </row>
    <row r="650">
      <c r="A650" s="248"/>
      <c r="D650" s="357" t="s">
        <v>176</v>
      </c>
      <c r="E650" s="357">
        <v>4.0</v>
      </c>
      <c r="F650" s="253"/>
      <c r="G650" s="253"/>
      <c r="H650" s="254" t="s">
        <v>290</v>
      </c>
      <c r="I650" s="255" t="s">
        <v>177</v>
      </c>
      <c r="K650" s="247"/>
      <c r="L650" s="247"/>
    </row>
    <row r="651">
      <c r="A651" s="248"/>
      <c r="D651" s="334" t="s">
        <v>40</v>
      </c>
      <c r="E651" s="335">
        <v>1.0</v>
      </c>
      <c r="F651" s="39"/>
      <c r="G651" s="41"/>
      <c r="H651" s="41" t="s">
        <v>41</v>
      </c>
      <c r="I651" s="336" t="s">
        <v>31</v>
      </c>
      <c r="K651" s="247"/>
      <c r="L651" s="247"/>
    </row>
    <row r="652">
      <c r="A652" s="259"/>
      <c r="B652" s="260"/>
      <c r="C652" s="260"/>
      <c r="D652" s="277" t="s">
        <v>589</v>
      </c>
      <c r="E652" s="277">
        <v>2.0</v>
      </c>
      <c r="F652" s="315"/>
      <c r="G652" s="316"/>
      <c r="H652" s="280" t="s">
        <v>590</v>
      </c>
      <c r="I652" s="281" t="s">
        <v>106</v>
      </c>
      <c r="K652" s="247"/>
      <c r="L652" s="247"/>
    </row>
    <row r="653" ht="19.5" customHeight="1">
      <c r="A653" s="567" t="s">
        <v>591</v>
      </c>
      <c r="B653" s="568" t="s">
        <v>592</v>
      </c>
      <c r="C653" s="569">
        <f>sum(E653:E657)</f>
        <v>8</v>
      </c>
      <c r="D653" s="570" t="s">
        <v>163</v>
      </c>
      <c r="E653" s="570">
        <v>2.0</v>
      </c>
      <c r="F653" s="571"/>
      <c r="G653" s="572"/>
      <c r="H653" s="573" t="s">
        <v>165</v>
      </c>
      <c r="I653" s="574" t="s">
        <v>164</v>
      </c>
      <c r="K653" s="247"/>
      <c r="L653" s="247"/>
    </row>
    <row r="654" ht="19.5" customHeight="1">
      <c r="A654" s="248"/>
      <c r="D654" s="385" t="s">
        <v>121</v>
      </c>
      <c r="E654" s="385">
        <v>1.0</v>
      </c>
      <c r="F654" s="411"/>
      <c r="G654" s="411"/>
      <c r="H654" s="412" t="s">
        <v>328</v>
      </c>
      <c r="I654" s="389" t="s">
        <v>106</v>
      </c>
      <c r="K654" s="247"/>
      <c r="L654" s="247"/>
    </row>
    <row r="655" ht="19.5" customHeight="1">
      <c r="A655" s="248"/>
      <c r="D655" s="385" t="s">
        <v>285</v>
      </c>
      <c r="E655" s="385">
        <v>1.0</v>
      </c>
      <c r="F655" s="386"/>
      <c r="G655" s="387"/>
      <c r="H655" s="388" t="s">
        <v>116</v>
      </c>
      <c r="I655" s="389" t="s">
        <v>106</v>
      </c>
      <c r="K655" s="247"/>
      <c r="L655" s="247"/>
    </row>
    <row r="656" ht="19.5" customHeight="1">
      <c r="A656" s="248"/>
      <c r="D656" s="385" t="s">
        <v>291</v>
      </c>
      <c r="E656" s="385">
        <v>2.0</v>
      </c>
      <c r="F656" s="386"/>
      <c r="G656" s="387"/>
      <c r="H656" s="388" t="s">
        <v>284</v>
      </c>
      <c r="I656" s="389" t="s">
        <v>66</v>
      </c>
      <c r="K656" s="247"/>
      <c r="L656" s="247"/>
    </row>
    <row r="657" ht="19.5" customHeight="1">
      <c r="A657" s="248"/>
      <c r="D657" s="542" t="s">
        <v>109</v>
      </c>
      <c r="E657" s="543">
        <v>2.0</v>
      </c>
      <c r="F657" s="544"/>
      <c r="G657" s="545"/>
      <c r="H657" s="545" t="s">
        <v>110</v>
      </c>
      <c r="I657" s="546" t="s">
        <v>106</v>
      </c>
      <c r="K657" s="247"/>
      <c r="L657" s="247"/>
    </row>
    <row r="658" ht="17.25" customHeight="1">
      <c r="A658" s="328" t="s">
        <v>593</v>
      </c>
      <c r="B658" s="262" t="s">
        <v>594</v>
      </c>
      <c r="C658" s="263">
        <f>sum(E658:E662)</f>
        <v>8</v>
      </c>
      <c r="D658" s="264" t="s">
        <v>148</v>
      </c>
      <c r="E658" s="264">
        <v>3.0</v>
      </c>
      <c r="F658" s="265"/>
      <c r="G658" s="265"/>
      <c r="H658" s="266" t="s">
        <v>146</v>
      </c>
      <c r="I658" s="267" t="s">
        <v>145</v>
      </c>
      <c r="K658" s="247"/>
      <c r="L658" s="247"/>
    </row>
    <row r="659" ht="17.25" customHeight="1">
      <c r="A659" s="248"/>
      <c r="D659" s="251" t="s">
        <v>285</v>
      </c>
      <c r="E659" s="251">
        <v>1.0</v>
      </c>
      <c r="F659" s="257"/>
      <c r="G659" s="258"/>
      <c r="H659" s="254" t="s">
        <v>116</v>
      </c>
      <c r="I659" s="255" t="s">
        <v>106</v>
      </c>
      <c r="K659" s="247"/>
      <c r="L659" s="247"/>
    </row>
    <row r="660" ht="17.25" customHeight="1">
      <c r="A660" s="248"/>
      <c r="D660" s="361" t="s">
        <v>124</v>
      </c>
      <c r="E660" s="362">
        <v>1.0</v>
      </c>
      <c r="F660" s="105"/>
      <c r="G660" s="114"/>
      <c r="H660" s="114" t="s">
        <v>125</v>
      </c>
      <c r="I660" s="255" t="s">
        <v>106</v>
      </c>
      <c r="K660" s="247"/>
      <c r="L660" s="247"/>
    </row>
    <row r="661" ht="17.25" customHeight="1">
      <c r="A661" s="248"/>
      <c r="D661" s="251" t="s">
        <v>163</v>
      </c>
      <c r="E661" s="251">
        <v>2.0</v>
      </c>
      <c r="F661" s="256"/>
      <c r="G661" s="253"/>
      <c r="H661" s="254" t="s">
        <v>165</v>
      </c>
      <c r="I661" s="255" t="s">
        <v>164</v>
      </c>
      <c r="K661" s="247"/>
      <c r="L661" s="247"/>
    </row>
    <row r="662" ht="17.25" customHeight="1">
      <c r="A662" s="259"/>
      <c r="B662" s="260"/>
      <c r="C662" s="260"/>
      <c r="D662" s="277" t="s">
        <v>121</v>
      </c>
      <c r="E662" s="277">
        <v>1.0</v>
      </c>
      <c r="F662" s="308"/>
      <c r="G662" s="308"/>
      <c r="H662" s="300" t="s">
        <v>328</v>
      </c>
      <c r="I662" s="281" t="s">
        <v>106</v>
      </c>
      <c r="K662" s="247"/>
      <c r="L662" s="247"/>
    </row>
    <row r="663">
      <c r="A663" s="261" t="s">
        <v>595</v>
      </c>
      <c r="B663" s="262" t="s">
        <v>596</v>
      </c>
      <c r="C663" s="263">
        <f>sum(E663:E665)</f>
        <v>8</v>
      </c>
      <c r="D663" s="264" t="s">
        <v>80</v>
      </c>
      <c r="E663" s="264">
        <v>2.0</v>
      </c>
      <c r="F663" s="305"/>
      <c r="G663" s="305"/>
      <c r="H663" s="285" t="s">
        <v>81</v>
      </c>
      <c r="I663" s="286" t="s">
        <v>66</v>
      </c>
      <c r="K663" s="247"/>
      <c r="L663" s="247"/>
    </row>
    <row r="664">
      <c r="A664" s="248"/>
      <c r="D664" s="251" t="s">
        <v>285</v>
      </c>
      <c r="E664" s="251">
        <v>1.0</v>
      </c>
      <c r="F664" s="257"/>
      <c r="G664" s="258"/>
      <c r="H664" s="254" t="s">
        <v>116</v>
      </c>
      <c r="I664" s="255" t="s">
        <v>106</v>
      </c>
      <c r="K664" s="247"/>
      <c r="L664" s="247"/>
    </row>
    <row r="665">
      <c r="A665" s="259"/>
      <c r="B665" s="260"/>
      <c r="C665" s="260"/>
      <c r="D665" s="277" t="s">
        <v>144</v>
      </c>
      <c r="E665" s="277">
        <v>5.0</v>
      </c>
      <c r="F665" s="299"/>
      <c r="G665" s="299"/>
      <c r="H665" s="300" t="s">
        <v>146</v>
      </c>
      <c r="I665" s="301" t="s">
        <v>145</v>
      </c>
      <c r="K665" s="247"/>
      <c r="L665" s="247"/>
    </row>
    <row r="666">
      <c r="A666" s="261" t="s">
        <v>597</v>
      </c>
      <c r="B666" s="262" t="s">
        <v>598</v>
      </c>
      <c r="C666" s="263">
        <f>sum(E666:E668)</f>
        <v>8</v>
      </c>
      <c r="D666" s="264" t="s">
        <v>80</v>
      </c>
      <c r="E666" s="264">
        <v>2.0</v>
      </c>
      <c r="F666" s="305"/>
      <c r="G666" s="305"/>
      <c r="H666" s="285" t="s">
        <v>81</v>
      </c>
      <c r="I666" s="286" t="s">
        <v>66</v>
      </c>
      <c r="K666" s="247"/>
      <c r="L666" s="247"/>
    </row>
    <row r="667">
      <c r="A667" s="248"/>
      <c r="D667" s="251" t="s">
        <v>285</v>
      </c>
      <c r="E667" s="251">
        <v>1.0</v>
      </c>
      <c r="F667" s="257"/>
      <c r="G667" s="258"/>
      <c r="H667" s="254" t="s">
        <v>116</v>
      </c>
      <c r="I667" s="255" t="s">
        <v>106</v>
      </c>
      <c r="K667" s="247"/>
      <c r="L667" s="247"/>
    </row>
    <row r="668">
      <c r="A668" s="259"/>
      <c r="B668" s="260"/>
      <c r="C668" s="260"/>
      <c r="D668" s="277" t="s">
        <v>144</v>
      </c>
      <c r="E668" s="277">
        <v>5.0</v>
      </c>
      <c r="F668" s="299"/>
      <c r="G668" s="299"/>
      <c r="H668" s="300" t="s">
        <v>146</v>
      </c>
      <c r="I668" s="301" t="s">
        <v>145</v>
      </c>
      <c r="K668" s="247"/>
      <c r="L668" s="247"/>
    </row>
    <row r="669">
      <c r="A669" s="328" t="s">
        <v>599</v>
      </c>
      <c r="B669" s="341" t="s">
        <v>600</v>
      </c>
      <c r="C669" s="263">
        <f>sum(E669:E672)</f>
        <v>8</v>
      </c>
      <c r="D669" s="265" t="s">
        <v>62</v>
      </c>
      <c r="E669" s="265">
        <v>1.0</v>
      </c>
      <c r="F669" s="332"/>
      <c r="G669" s="332"/>
      <c r="H669" s="333" t="s">
        <v>63</v>
      </c>
      <c r="I669" s="286" t="s">
        <v>44</v>
      </c>
      <c r="K669" s="247"/>
      <c r="L669" s="247"/>
    </row>
    <row r="670">
      <c r="A670" s="248"/>
      <c r="D670" s="251" t="s">
        <v>291</v>
      </c>
      <c r="E670" s="251">
        <v>2.0</v>
      </c>
      <c r="F670" s="257"/>
      <c r="G670" s="258"/>
      <c r="H670" s="254" t="s">
        <v>284</v>
      </c>
      <c r="I670" s="255" t="s">
        <v>66</v>
      </c>
      <c r="K670" s="247"/>
      <c r="L670" s="247"/>
    </row>
    <row r="671">
      <c r="A671" s="248"/>
      <c r="D671" s="251" t="s">
        <v>148</v>
      </c>
      <c r="E671" s="251">
        <v>3.0</v>
      </c>
      <c r="F671" s="306"/>
      <c r="G671" s="306"/>
      <c r="H671" s="293" t="s">
        <v>146</v>
      </c>
      <c r="I671" s="287" t="s">
        <v>145</v>
      </c>
      <c r="K671" s="247"/>
      <c r="L671" s="247"/>
    </row>
    <row r="672">
      <c r="A672" s="259"/>
      <c r="B672" s="260"/>
      <c r="C672" s="260"/>
      <c r="D672" s="277" t="s">
        <v>163</v>
      </c>
      <c r="E672" s="277">
        <v>2.0</v>
      </c>
      <c r="F672" s="365"/>
      <c r="G672" s="316"/>
      <c r="H672" s="280" t="s">
        <v>165</v>
      </c>
      <c r="I672" s="281" t="s">
        <v>164</v>
      </c>
      <c r="K672" s="247"/>
      <c r="L672" s="247"/>
    </row>
    <row r="673">
      <c r="A673" s="261" t="s">
        <v>601</v>
      </c>
      <c r="B673" s="262" t="s">
        <v>523</v>
      </c>
      <c r="C673" s="282">
        <f>sum(E673:E677)</f>
        <v>8</v>
      </c>
      <c r="D673" s="264" t="s">
        <v>163</v>
      </c>
      <c r="E673" s="264">
        <v>2.0</v>
      </c>
      <c r="F673" s="374"/>
      <c r="G673" s="305"/>
      <c r="H673" s="285" t="s">
        <v>165</v>
      </c>
      <c r="I673" s="286" t="s">
        <v>164</v>
      </c>
      <c r="K673" s="247"/>
      <c r="L673" s="247"/>
    </row>
    <row r="674">
      <c r="A674" s="248"/>
      <c r="D674" s="251" t="s">
        <v>160</v>
      </c>
      <c r="E674" s="251">
        <v>1.0</v>
      </c>
      <c r="F674" s="306"/>
      <c r="G674" s="306"/>
      <c r="H674" s="254" t="s">
        <v>161</v>
      </c>
      <c r="I674" s="287" t="s">
        <v>145</v>
      </c>
      <c r="K674" s="247"/>
      <c r="L674" s="247"/>
    </row>
    <row r="675">
      <c r="A675" s="248"/>
      <c r="D675" s="251" t="s">
        <v>12</v>
      </c>
      <c r="E675" s="251">
        <v>2.0</v>
      </c>
      <c r="F675" s="252"/>
      <c r="G675" s="253"/>
      <c r="H675" s="254" t="s">
        <v>349</v>
      </c>
      <c r="I675" s="255" t="s">
        <v>8</v>
      </c>
      <c r="K675" s="247"/>
      <c r="L675" s="247"/>
    </row>
    <row r="676">
      <c r="A676" s="248"/>
      <c r="D676" s="306" t="s">
        <v>98</v>
      </c>
      <c r="E676" s="306">
        <v>2.0</v>
      </c>
      <c r="F676" s="274"/>
      <c r="G676" s="274"/>
      <c r="H676" s="275" t="s">
        <v>100</v>
      </c>
      <c r="I676" s="255" t="s">
        <v>99</v>
      </c>
      <c r="K676" s="247"/>
      <c r="L676" s="247"/>
    </row>
    <row r="677">
      <c r="A677" s="259"/>
      <c r="B677" s="260"/>
      <c r="C677" s="260"/>
      <c r="D677" s="277" t="s">
        <v>59</v>
      </c>
      <c r="E677" s="277">
        <v>1.0</v>
      </c>
      <c r="F677" s="277"/>
      <c r="G677" s="277"/>
      <c r="H677" s="300" t="s">
        <v>60</v>
      </c>
      <c r="I677" s="255" t="s">
        <v>44</v>
      </c>
      <c r="K677" s="247"/>
      <c r="L677" s="247"/>
    </row>
    <row r="678">
      <c r="A678" s="261" t="s">
        <v>602</v>
      </c>
      <c r="B678" s="262" t="s">
        <v>388</v>
      </c>
      <c r="C678" s="282">
        <f>sum(E678:E682)</f>
        <v>8</v>
      </c>
      <c r="D678" s="510" t="s">
        <v>80</v>
      </c>
      <c r="E678" s="510">
        <v>2.0</v>
      </c>
      <c r="F678" s="63"/>
      <c r="G678" s="65"/>
      <c r="H678" s="550" t="s">
        <v>81</v>
      </c>
      <c r="I678" s="511" t="s">
        <v>66</v>
      </c>
      <c r="K678" s="247"/>
      <c r="L678" s="247"/>
    </row>
    <row r="679">
      <c r="A679" s="248"/>
      <c r="D679" s="322" t="s">
        <v>98</v>
      </c>
      <c r="E679" s="322">
        <v>2.0</v>
      </c>
      <c r="F679" s="323"/>
      <c r="G679" s="324"/>
      <c r="H679" s="575" t="s">
        <v>100</v>
      </c>
      <c r="I679" s="325" t="s">
        <v>99</v>
      </c>
      <c r="K679" s="247"/>
      <c r="L679" s="247"/>
    </row>
    <row r="680">
      <c r="A680" s="248"/>
      <c r="D680" s="576" t="s">
        <v>160</v>
      </c>
      <c r="E680" s="576">
        <v>1.0</v>
      </c>
      <c r="F680" s="130"/>
      <c r="G680" s="359"/>
      <c r="H680" s="577" t="s">
        <v>161</v>
      </c>
      <c r="I680" s="287" t="s">
        <v>145</v>
      </c>
      <c r="K680" s="247"/>
      <c r="L680" s="247"/>
    </row>
    <row r="681">
      <c r="A681" s="248"/>
      <c r="D681" s="557" t="s">
        <v>167</v>
      </c>
      <c r="E681" s="557">
        <v>2.0</v>
      </c>
      <c r="F681" s="151"/>
      <c r="G681" s="152"/>
      <c r="H681" s="578" t="s">
        <v>168</v>
      </c>
      <c r="I681" s="579" t="s">
        <v>164</v>
      </c>
      <c r="K681" s="247"/>
      <c r="L681" s="247"/>
    </row>
    <row r="682">
      <c r="A682" s="259"/>
      <c r="B682" s="260"/>
      <c r="C682" s="260"/>
      <c r="D682" s="416" t="s">
        <v>127</v>
      </c>
      <c r="E682" s="416">
        <v>1.0</v>
      </c>
      <c r="F682" s="417"/>
      <c r="G682" s="418"/>
      <c r="H682" s="419" t="s">
        <v>128</v>
      </c>
      <c r="I682" s="420" t="s">
        <v>106</v>
      </c>
      <c r="K682" s="247"/>
      <c r="L682" s="247"/>
    </row>
    <row r="683">
      <c r="A683" s="261" t="s">
        <v>603</v>
      </c>
      <c r="B683" s="262" t="s">
        <v>604</v>
      </c>
      <c r="C683" s="282">
        <f>sum(E683:E689)</f>
        <v>8</v>
      </c>
      <c r="D683" s="580" t="s">
        <v>27</v>
      </c>
      <c r="E683" s="581">
        <v>1.0</v>
      </c>
      <c r="F683" s="582"/>
      <c r="G683" s="583"/>
      <c r="H683" s="584" t="s">
        <v>28</v>
      </c>
      <c r="I683" s="585" t="s">
        <v>24</v>
      </c>
      <c r="K683" s="247"/>
      <c r="L683" s="247"/>
    </row>
    <row r="684">
      <c r="A684" s="248"/>
      <c r="D684" s="251" t="s">
        <v>59</v>
      </c>
      <c r="E684" s="251">
        <v>1.0</v>
      </c>
      <c r="F684" s="251"/>
      <c r="G684" s="251"/>
      <c r="H684" s="293" t="s">
        <v>60</v>
      </c>
      <c r="I684" s="255" t="s">
        <v>44</v>
      </c>
      <c r="K684" s="247"/>
      <c r="L684" s="247"/>
    </row>
    <row r="685">
      <c r="A685" s="248"/>
      <c r="D685" s="586" t="s">
        <v>95</v>
      </c>
      <c r="E685" s="298">
        <v>1.0</v>
      </c>
      <c r="F685" s="70"/>
      <c r="G685" s="79"/>
      <c r="H685" s="587" t="s">
        <v>96</v>
      </c>
      <c r="I685" s="297" t="s">
        <v>66</v>
      </c>
      <c r="K685" s="247"/>
      <c r="L685" s="247"/>
    </row>
    <row r="686">
      <c r="A686" s="248"/>
      <c r="D686" s="306" t="s">
        <v>157</v>
      </c>
      <c r="E686" s="306">
        <v>2.0</v>
      </c>
      <c r="F686" s="274"/>
      <c r="G686" s="274"/>
      <c r="H686" s="275" t="s">
        <v>158</v>
      </c>
      <c r="I686" s="287" t="s">
        <v>145</v>
      </c>
      <c r="K686" s="247"/>
      <c r="L686" s="247"/>
    </row>
    <row r="687">
      <c r="A687" s="248"/>
      <c r="D687" s="251" t="s">
        <v>118</v>
      </c>
      <c r="E687" s="251">
        <v>1.0</v>
      </c>
      <c r="F687" s="253"/>
      <c r="G687" s="253"/>
      <c r="H687" s="254" t="s">
        <v>323</v>
      </c>
      <c r="I687" s="255" t="s">
        <v>106</v>
      </c>
      <c r="K687" s="247"/>
      <c r="L687" s="247"/>
    </row>
    <row r="688">
      <c r="A688" s="248"/>
      <c r="D688" s="251" t="s">
        <v>127</v>
      </c>
      <c r="E688" s="251">
        <v>1.0</v>
      </c>
      <c r="F688" s="400"/>
      <c r="G688" s="401"/>
      <c r="H688" s="254" t="s">
        <v>128</v>
      </c>
      <c r="I688" s="255" t="s">
        <v>106</v>
      </c>
      <c r="K688" s="247"/>
      <c r="L688" s="247"/>
    </row>
    <row r="689">
      <c r="A689" s="259"/>
      <c r="B689" s="260"/>
      <c r="C689" s="260"/>
      <c r="D689" s="415" t="s">
        <v>138</v>
      </c>
      <c r="E689" s="416">
        <v>1.0</v>
      </c>
      <c r="F689" s="417"/>
      <c r="G689" s="418"/>
      <c r="H689" s="419" t="s">
        <v>139</v>
      </c>
      <c r="I689" s="420" t="s">
        <v>106</v>
      </c>
      <c r="K689" s="247"/>
      <c r="L689" s="247"/>
    </row>
    <row r="690">
      <c r="A690" s="328" t="s">
        <v>605</v>
      </c>
      <c r="B690" s="262" t="s">
        <v>606</v>
      </c>
      <c r="C690" s="282">
        <f>sum(E690:E694)</f>
        <v>8</v>
      </c>
      <c r="D690" s="265" t="s">
        <v>62</v>
      </c>
      <c r="E690" s="265">
        <v>1.0</v>
      </c>
      <c r="F690" s="332"/>
      <c r="G690" s="332"/>
      <c r="H690" s="333" t="s">
        <v>63</v>
      </c>
      <c r="I690" s="286" t="s">
        <v>44</v>
      </c>
      <c r="K690" s="247"/>
      <c r="L690" s="247"/>
    </row>
    <row r="691">
      <c r="A691" s="248"/>
      <c r="D691" s="361" t="s">
        <v>124</v>
      </c>
      <c r="E691" s="362">
        <v>1.0</v>
      </c>
      <c r="F691" s="105"/>
      <c r="G691" s="114"/>
      <c r="H691" s="114" t="s">
        <v>125</v>
      </c>
      <c r="I691" s="588" t="s">
        <v>106</v>
      </c>
      <c r="J691" s="310"/>
      <c r="K691" s="247"/>
      <c r="L691" s="247"/>
    </row>
    <row r="692">
      <c r="A692" s="248"/>
      <c r="D692" s="251" t="s">
        <v>148</v>
      </c>
      <c r="E692" s="251">
        <v>3.0</v>
      </c>
      <c r="F692" s="306"/>
      <c r="G692" s="306"/>
      <c r="H692" s="293" t="s">
        <v>146</v>
      </c>
      <c r="I692" s="287" t="s">
        <v>145</v>
      </c>
      <c r="K692" s="247"/>
      <c r="L692" s="247"/>
    </row>
    <row r="693">
      <c r="A693" s="248"/>
      <c r="D693" s="251" t="s">
        <v>163</v>
      </c>
      <c r="E693" s="251">
        <v>2.0</v>
      </c>
      <c r="F693" s="256"/>
      <c r="G693" s="253"/>
      <c r="H693" s="254" t="s">
        <v>165</v>
      </c>
      <c r="I693" s="255" t="s">
        <v>164</v>
      </c>
      <c r="K693" s="247"/>
      <c r="L693" s="247"/>
    </row>
    <row r="694">
      <c r="A694" s="259"/>
      <c r="B694" s="260"/>
      <c r="C694" s="260"/>
      <c r="D694" s="251" t="s">
        <v>186</v>
      </c>
      <c r="E694" s="377">
        <v>1.0</v>
      </c>
      <c r="F694" s="3"/>
      <c r="G694" s="378"/>
      <c r="H694" s="379" t="s">
        <v>188</v>
      </c>
      <c r="I694" s="276" t="s">
        <v>187</v>
      </c>
      <c r="K694" s="247"/>
      <c r="L694" s="247"/>
    </row>
    <row r="695">
      <c r="A695" s="413" t="s">
        <v>607</v>
      </c>
      <c r="B695" s="303" t="s">
        <v>608</v>
      </c>
      <c r="C695" s="282">
        <f>sum(E695:E697)</f>
        <v>8</v>
      </c>
      <c r="D695" s="264" t="s">
        <v>65</v>
      </c>
      <c r="E695" s="264">
        <v>3.0</v>
      </c>
      <c r="F695" s="283"/>
      <c r="G695" s="284"/>
      <c r="H695" s="285" t="s">
        <v>284</v>
      </c>
      <c r="I695" s="286" t="s">
        <v>66</v>
      </c>
      <c r="K695" s="247"/>
      <c r="L695" s="247"/>
    </row>
    <row r="696">
      <c r="A696" s="248"/>
      <c r="D696" s="321" t="s">
        <v>102</v>
      </c>
      <c r="E696" s="322">
        <v>2.0</v>
      </c>
      <c r="F696" s="323"/>
      <c r="G696" s="324"/>
      <c r="H696" s="324" t="s">
        <v>103</v>
      </c>
      <c r="I696" s="325" t="s">
        <v>99</v>
      </c>
      <c r="K696" s="247"/>
      <c r="L696" s="247"/>
    </row>
    <row r="697">
      <c r="A697" s="259"/>
      <c r="B697" s="260"/>
      <c r="C697" s="260"/>
      <c r="D697" s="467" t="s">
        <v>180</v>
      </c>
      <c r="E697" s="468">
        <v>3.0</v>
      </c>
      <c r="F697" s="469"/>
      <c r="G697" s="470"/>
      <c r="H697" s="589" t="s">
        <v>181</v>
      </c>
      <c r="I697" s="471" t="s">
        <v>177</v>
      </c>
      <c r="K697" s="247"/>
      <c r="L697" s="247"/>
    </row>
    <row r="698">
      <c r="A698" s="413" t="s">
        <v>609</v>
      </c>
      <c r="B698" s="262" t="s">
        <v>610</v>
      </c>
      <c r="C698" s="263">
        <f>sum(E698:E701)</f>
        <v>8</v>
      </c>
      <c r="D698" s="264" t="s">
        <v>291</v>
      </c>
      <c r="E698" s="264">
        <v>2.0</v>
      </c>
      <c r="F698" s="283"/>
      <c r="G698" s="284"/>
      <c r="H698" s="285" t="s">
        <v>284</v>
      </c>
      <c r="I698" s="286" t="s">
        <v>66</v>
      </c>
      <c r="K698" s="247"/>
      <c r="L698" s="247"/>
    </row>
    <row r="699">
      <c r="A699" s="248"/>
      <c r="D699" s="295" t="s">
        <v>80</v>
      </c>
      <c r="E699" s="295">
        <v>2.0</v>
      </c>
      <c r="F699" s="70"/>
      <c r="G699" s="72"/>
      <c r="H699" s="296" t="s">
        <v>81</v>
      </c>
      <c r="I699" s="297" t="s">
        <v>66</v>
      </c>
      <c r="K699" s="247"/>
      <c r="L699" s="247"/>
    </row>
    <row r="700">
      <c r="A700" s="248"/>
      <c r="D700" s="306" t="s">
        <v>98</v>
      </c>
      <c r="E700" s="306">
        <v>2.0</v>
      </c>
      <c r="F700" s="274"/>
      <c r="G700" s="274"/>
      <c r="H700" s="275" t="s">
        <v>100</v>
      </c>
      <c r="I700" s="255" t="s">
        <v>99</v>
      </c>
      <c r="K700" s="247"/>
      <c r="L700" s="247"/>
    </row>
    <row r="701">
      <c r="A701" s="259"/>
      <c r="B701" s="260"/>
      <c r="C701" s="260"/>
      <c r="D701" s="277" t="s">
        <v>163</v>
      </c>
      <c r="E701" s="277">
        <v>2.0</v>
      </c>
      <c r="F701" s="365"/>
      <c r="G701" s="316"/>
      <c r="H701" s="280" t="s">
        <v>165</v>
      </c>
      <c r="I701" s="281" t="s">
        <v>164</v>
      </c>
      <c r="K701" s="247"/>
      <c r="L701" s="247"/>
    </row>
    <row r="702">
      <c r="A702" s="590" t="s">
        <v>611</v>
      </c>
      <c r="B702" s="591" t="s">
        <v>547</v>
      </c>
      <c r="C702" s="592">
        <f>sum(E702:E707)</f>
        <v>8</v>
      </c>
      <c r="D702" s="593" t="s">
        <v>23</v>
      </c>
      <c r="E702" s="594">
        <v>1.0</v>
      </c>
      <c r="F702" s="595"/>
      <c r="G702" s="595"/>
      <c r="H702" s="595" t="s">
        <v>308</v>
      </c>
      <c r="I702" s="596" t="s">
        <v>24</v>
      </c>
      <c r="J702" s="274"/>
      <c r="K702" s="274"/>
      <c r="L702" s="274"/>
      <c r="M702" s="274"/>
      <c r="N702" s="274"/>
      <c r="O702" s="274"/>
      <c r="P702" s="274"/>
      <c r="Q702" s="274"/>
      <c r="R702" s="274"/>
      <c r="S702" s="274"/>
      <c r="T702" s="274"/>
      <c r="U702" s="274"/>
      <c r="V702" s="274"/>
      <c r="W702" s="274"/>
      <c r="X702" s="274"/>
      <c r="Y702" s="274"/>
      <c r="Z702" s="274"/>
      <c r="AA702" s="274"/>
      <c r="AB702" s="274"/>
      <c r="AC702" s="274"/>
    </row>
    <row r="703">
      <c r="A703" s="248"/>
      <c r="D703" s="358" t="s">
        <v>151</v>
      </c>
      <c r="E703" s="358">
        <v>2.0</v>
      </c>
      <c r="F703" s="359"/>
      <c r="G703" s="359"/>
      <c r="H703" s="359" t="s">
        <v>152</v>
      </c>
      <c r="I703" s="360" t="s">
        <v>145</v>
      </c>
      <c r="J703" s="274"/>
      <c r="K703" s="274"/>
      <c r="L703" s="274"/>
      <c r="M703" s="274"/>
      <c r="N703" s="274"/>
      <c r="O703" s="274"/>
      <c r="P703" s="274"/>
      <c r="Q703" s="274"/>
      <c r="R703" s="274"/>
      <c r="S703" s="274"/>
      <c r="T703" s="274"/>
      <c r="U703" s="274"/>
      <c r="V703" s="274"/>
      <c r="W703" s="274"/>
      <c r="X703" s="274"/>
      <c r="Y703" s="274"/>
      <c r="Z703" s="274"/>
      <c r="AA703" s="274"/>
      <c r="AB703" s="274"/>
      <c r="AC703" s="274"/>
    </row>
    <row r="704">
      <c r="A704" s="248"/>
      <c r="D704" s="597" t="s">
        <v>612</v>
      </c>
      <c r="E704" s="597">
        <v>2.0</v>
      </c>
      <c r="F704" s="598"/>
      <c r="G704" s="598"/>
      <c r="H704" s="598" t="s">
        <v>613</v>
      </c>
      <c r="I704" s="599" t="s">
        <v>164</v>
      </c>
      <c r="J704" s="274"/>
      <c r="K704" s="274"/>
      <c r="L704" s="274"/>
      <c r="M704" s="274"/>
      <c r="N704" s="274"/>
      <c r="O704" s="274"/>
      <c r="P704" s="274"/>
      <c r="Q704" s="274"/>
      <c r="R704" s="274"/>
      <c r="S704" s="274"/>
      <c r="T704" s="274"/>
      <c r="U704" s="274"/>
      <c r="V704" s="274"/>
      <c r="W704" s="274"/>
      <c r="X704" s="274"/>
      <c r="Y704" s="274"/>
      <c r="Z704" s="274"/>
      <c r="AA704" s="274"/>
      <c r="AB704" s="274"/>
      <c r="AC704" s="274"/>
    </row>
    <row r="705">
      <c r="A705" s="248"/>
      <c r="D705" s="600" t="s">
        <v>186</v>
      </c>
      <c r="E705" s="601">
        <v>1.0</v>
      </c>
      <c r="F705" s="602"/>
      <c r="G705" s="602"/>
      <c r="H705" s="602" t="s">
        <v>188</v>
      </c>
      <c r="I705" s="603" t="s">
        <v>187</v>
      </c>
      <c r="J705" s="274"/>
      <c r="K705" s="274"/>
      <c r="L705" s="274"/>
      <c r="M705" s="274"/>
      <c r="N705" s="274"/>
      <c r="O705" s="274"/>
      <c r="P705" s="274"/>
      <c r="Q705" s="274"/>
      <c r="R705" s="274"/>
      <c r="S705" s="274"/>
      <c r="T705" s="274"/>
      <c r="U705" s="274"/>
      <c r="V705" s="274"/>
      <c r="W705" s="274"/>
      <c r="X705" s="274"/>
      <c r="Y705" s="274"/>
      <c r="Z705" s="274"/>
      <c r="AA705" s="274"/>
      <c r="AB705" s="274"/>
      <c r="AC705" s="274"/>
    </row>
    <row r="706">
      <c r="A706" s="248"/>
      <c r="D706" s="604" t="s">
        <v>124</v>
      </c>
      <c r="E706" s="605">
        <v>1.0</v>
      </c>
      <c r="F706" s="606"/>
      <c r="G706" s="606"/>
      <c r="H706" s="606" t="s">
        <v>125</v>
      </c>
      <c r="I706" s="607" t="s">
        <v>106</v>
      </c>
      <c r="J706" s="274"/>
      <c r="K706" s="274"/>
      <c r="L706" s="274"/>
      <c r="M706" s="274"/>
      <c r="N706" s="274"/>
      <c r="O706" s="274"/>
      <c r="P706" s="274"/>
      <c r="Q706" s="274"/>
      <c r="R706" s="274"/>
      <c r="S706" s="274"/>
      <c r="T706" s="274"/>
      <c r="U706" s="274"/>
      <c r="V706" s="274"/>
      <c r="W706" s="274"/>
      <c r="X706" s="274"/>
      <c r="Y706" s="274"/>
      <c r="Z706" s="274"/>
      <c r="AA706" s="274"/>
      <c r="AB706" s="274"/>
      <c r="AC706" s="274"/>
    </row>
    <row r="707">
      <c r="A707" s="259"/>
      <c r="B707" s="260"/>
      <c r="C707" s="260"/>
      <c r="D707" s="608" t="s">
        <v>127</v>
      </c>
      <c r="E707" s="608">
        <v>1.0</v>
      </c>
      <c r="F707" s="418"/>
      <c r="G707" s="418"/>
      <c r="H707" s="418" t="s">
        <v>128</v>
      </c>
      <c r="I707" s="609" t="s">
        <v>106</v>
      </c>
      <c r="J707" s="274"/>
      <c r="K707" s="274"/>
      <c r="L707" s="274"/>
      <c r="M707" s="274"/>
      <c r="N707" s="274"/>
      <c r="O707" s="274"/>
      <c r="P707" s="274"/>
      <c r="Q707" s="274"/>
      <c r="R707" s="274"/>
      <c r="S707" s="274"/>
      <c r="T707" s="274"/>
      <c r="U707" s="274"/>
      <c r="V707" s="274"/>
      <c r="W707" s="274"/>
      <c r="X707" s="274"/>
      <c r="Y707" s="274"/>
      <c r="Z707" s="274"/>
      <c r="AA707" s="274"/>
      <c r="AB707" s="274"/>
      <c r="AC707" s="274"/>
    </row>
    <row r="708">
      <c r="A708" s="326" t="s">
        <v>614</v>
      </c>
      <c r="B708" s="327" t="s">
        <v>615</v>
      </c>
      <c r="C708" s="242">
        <f>sum(E708:E711)</f>
        <v>8</v>
      </c>
      <c r="D708" s="251" t="s">
        <v>331</v>
      </c>
      <c r="E708" s="251">
        <v>2.0</v>
      </c>
      <c r="F708" s="252"/>
      <c r="G708" s="253"/>
      <c r="H708" s="254" t="s">
        <v>332</v>
      </c>
      <c r="I708" s="255" t="s">
        <v>8</v>
      </c>
      <c r="K708" s="247"/>
      <c r="L708" s="247"/>
    </row>
    <row r="709">
      <c r="A709" s="248"/>
      <c r="D709" s="251" t="s">
        <v>56</v>
      </c>
      <c r="E709" s="251">
        <v>1.0</v>
      </c>
      <c r="F709" s="252"/>
      <c r="G709" s="253"/>
      <c r="H709" s="254" t="s">
        <v>57</v>
      </c>
      <c r="I709" s="255" t="s">
        <v>44</v>
      </c>
      <c r="K709" s="247"/>
      <c r="L709" s="247"/>
    </row>
    <row r="710" ht="18.75" customHeight="1">
      <c r="A710" s="248"/>
      <c r="D710" s="251" t="s">
        <v>163</v>
      </c>
      <c r="E710" s="251">
        <v>2.0</v>
      </c>
      <c r="F710" s="256"/>
      <c r="G710" s="253"/>
      <c r="H710" s="254" t="s">
        <v>165</v>
      </c>
      <c r="I710" s="255" t="s">
        <v>164</v>
      </c>
      <c r="K710" s="247"/>
      <c r="L710" s="247"/>
    </row>
    <row r="711">
      <c r="A711" s="259"/>
      <c r="B711" s="260"/>
      <c r="C711" s="260"/>
      <c r="D711" s="277" t="s">
        <v>406</v>
      </c>
      <c r="E711" s="277">
        <v>3.0</v>
      </c>
      <c r="F711" s="315"/>
      <c r="G711" s="316"/>
      <c r="H711" s="280" t="s">
        <v>32</v>
      </c>
      <c r="I711" s="493" t="s">
        <v>31</v>
      </c>
      <c r="K711" s="247"/>
      <c r="L711" s="247"/>
    </row>
    <row r="712">
      <c r="A712" s="240" t="s">
        <v>616</v>
      </c>
      <c r="B712" s="241" t="s">
        <v>617</v>
      </c>
      <c r="C712" s="242">
        <f>sum(E712:E714)</f>
        <v>8</v>
      </c>
      <c r="D712" s="251" t="s">
        <v>163</v>
      </c>
      <c r="E712" s="251">
        <v>2.0</v>
      </c>
      <c r="F712" s="256"/>
      <c r="G712" s="253"/>
      <c r="H712" s="254" t="s">
        <v>165</v>
      </c>
      <c r="I712" s="255" t="s">
        <v>164</v>
      </c>
      <c r="K712" s="247"/>
      <c r="L712" s="247"/>
    </row>
    <row r="713">
      <c r="A713" s="248"/>
      <c r="D713" s="251" t="s">
        <v>331</v>
      </c>
      <c r="E713" s="251">
        <v>2.0</v>
      </c>
      <c r="F713" s="252"/>
      <c r="G713" s="253"/>
      <c r="H713" s="254" t="s">
        <v>332</v>
      </c>
      <c r="I713" s="255" t="s">
        <v>8</v>
      </c>
      <c r="K713" s="247"/>
      <c r="L713" s="247"/>
    </row>
    <row r="714">
      <c r="A714" s="259"/>
      <c r="B714" s="260"/>
      <c r="C714" s="260"/>
      <c r="D714" s="314" t="s">
        <v>176</v>
      </c>
      <c r="E714" s="314">
        <v>4.0</v>
      </c>
      <c r="F714" s="316"/>
      <c r="G714" s="316"/>
      <c r="H714" s="280" t="s">
        <v>290</v>
      </c>
      <c r="I714" s="255" t="s">
        <v>177</v>
      </c>
      <c r="K714" s="247"/>
      <c r="L714" s="247"/>
    </row>
    <row r="715">
      <c r="A715" s="261" t="s">
        <v>618</v>
      </c>
      <c r="B715" s="262" t="s">
        <v>619</v>
      </c>
      <c r="C715" s="263">
        <f>sum(E715:E720)</f>
        <v>8</v>
      </c>
      <c r="D715" s="481" t="s">
        <v>40</v>
      </c>
      <c r="E715" s="482">
        <v>1.0</v>
      </c>
      <c r="F715" s="483"/>
      <c r="G715" s="484"/>
      <c r="H715" s="484" t="s">
        <v>41</v>
      </c>
      <c r="I715" s="428" t="s">
        <v>31</v>
      </c>
      <c r="K715" s="247"/>
      <c r="L715" s="247"/>
    </row>
    <row r="716">
      <c r="A716" s="248"/>
      <c r="D716" s="251" t="s">
        <v>56</v>
      </c>
      <c r="E716" s="251">
        <v>1.0</v>
      </c>
      <c r="F716" s="252"/>
      <c r="G716" s="253"/>
      <c r="H716" s="254" t="s">
        <v>57</v>
      </c>
      <c r="I716" s="255" t="s">
        <v>44</v>
      </c>
      <c r="K716" s="247"/>
      <c r="L716" s="247"/>
    </row>
    <row r="717">
      <c r="A717" s="248"/>
      <c r="D717" s="251" t="s">
        <v>65</v>
      </c>
      <c r="E717" s="251">
        <v>3.0</v>
      </c>
      <c r="F717" s="252"/>
      <c r="G717" s="253"/>
      <c r="H717" s="254" t="s">
        <v>284</v>
      </c>
      <c r="I717" s="255" t="s">
        <v>66</v>
      </c>
      <c r="K717" s="247"/>
      <c r="L717" s="247"/>
    </row>
    <row r="718">
      <c r="A718" s="248"/>
      <c r="I718" s="331"/>
      <c r="K718" s="247"/>
      <c r="L718" s="247"/>
    </row>
    <row r="719">
      <c r="A719" s="248"/>
      <c r="D719" s="251" t="s">
        <v>167</v>
      </c>
      <c r="E719" s="251">
        <v>2.0</v>
      </c>
      <c r="F719" s="306"/>
      <c r="G719" s="306"/>
      <c r="H719" s="293" t="s">
        <v>168</v>
      </c>
      <c r="I719" s="255" t="s">
        <v>164</v>
      </c>
      <c r="K719" s="247"/>
      <c r="L719" s="247"/>
    </row>
    <row r="720">
      <c r="A720" s="259"/>
      <c r="B720" s="260"/>
      <c r="C720" s="260"/>
      <c r="D720" s="474" t="s">
        <v>112</v>
      </c>
      <c r="E720" s="474">
        <v>1.0</v>
      </c>
      <c r="F720" s="105"/>
      <c r="G720" s="103"/>
      <c r="H720" s="103" t="s">
        <v>113</v>
      </c>
      <c r="I720" s="475" t="s">
        <v>106</v>
      </c>
      <c r="K720" s="247"/>
      <c r="L720" s="247"/>
    </row>
    <row r="721">
      <c r="A721" s="413" t="s">
        <v>620</v>
      </c>
      <c r="B721" s="303" t="s">
        <v>592</v>
      </c>
      <c r="C721" s="263">
        <f>sum(E721:E725)</f>
        <v>8</v>
      </c>
      <c r="D721" s="264" t="s">
        <v>163</v>
      </c>
      <c r="E721" s="264">
        <v>2.0</v>
      </c>
      <c r="F721" s="374"/>
      <c r="G721" s="305"/>
      <c r="H721" s="285" t="s">
        <v>165</v>
      </c>
      <c r="I721" s="286" t="s">
        <v>164</v>
      </c>
      <c r="K721" s="247"/>
      <c r="L721" s="247"/>
    </row>
    <row r="722">
      <c r="A722" s="248"/>
      <c r="D722" s="251" t="s">
        <v>56</v>
      </c>
      <c r="E722" s="251">
        <v>1.0</v>
      </c>
      <c r="F722" s="252"/>
      <c r="G722" s="253"/>
      <c r="H722" s="254" t="s">
        <v>57</v>
      </c>
      <c r="I722" s="255" t="s">
        <v>44</v>
      </c>
      <c r="K722" s="247"/>
      <c r="L722" s="247"/>
    </row>
    <row r="723">
      <c r="A723" s="248"/>
      <c r="D723" s="251" t="s">
        <v>23</v>
      </c>
      <c r="E723" s="251">
        <v>2.0</v>
      </c>
      <c r="F723" s="256"/>
      <c r="G723" s="253"/>
      <c r="H723" s="254" t="s">
        <v>308</v>
      </c>
      <c r="I723" s="255" t="s">
        <v>24</v>
      </c>
      <c r="K723" s="247"/>
      <c r="L723" s="247"/>
    </row>
    <row r="724">
      <c r="A724" s="248"/>
      <c r="D724" s="251" t="s">
        <v>285</v>
      </c>
      <c r="E724" s="251">
        <v>1.0</v>
      </c>
      <c r="F724" s="257"/>
      <c r="G724" s="258"/>
      <c r="H724" s="254" t="s">
        <v>116</v>
      </c>
      <c r="I724" s="255" t="s">
        <v>106</v>
      </c>
      <c r="K724" s="247"/>
      <c r="L724" s="247"/>
    </row>
    <row r="725">
      <c r="A725" s="259"/>
      <c r="B725" s="260"/>
      <c r="C725" s="260"/>
      <c r="D725" s="338" t="s">
        <v>151</v>
      </c>
      <c r="E725" s="338">
        <v>2.0</v>
      </c>
      <c r="F725" s="339"/>
      <c r="G725" s="339"/>
      <c r="H725" s="339" t="s">
        <v>152</v>
      </c>
      <c r="I725" s="342" t="s">
        <v>145</v>
      </c>
      <c r="K725" s="247"/>
      <c r="L725" s="247"/>
    </row>
    <row r="726">
      <c r="A726" s="326" t="s">
        <v>621</v>
      </c>
      <c r="B726" s="327" t="s">
        <v>592</v>
      </c>
      <c r="C726" s="460">
        <f>sum(E726:E729)</f>
        <v>8</v>
      </c>
      <c r="D726" s="361" t="s">
        <v>138</v>
      </c>
      <c r="E726" s="362">
        <v>1.0</v>
      </c>
      <c r="F726" s="105"/>
      <c r="G726" s="114"/>
      <c r="H726" s="363" t="s">
        <v>139</v>
      </c>
      <c r="I726" s="355" t="s">
        <v>106</v>
      </c>
      <c r="K726" s="247"/>
      <c r="L726" s="247"/>
    </row>
    <row r="727">
      <c r="A727" s="248"/>
      <c r="D727" s="251" t="s">
        <v>163</v>
      </c>
      <c r="E727" s="251">
        <v>2.0</v>
      </c>
      <c r="F727" s="256"/>
      <c r="G727" s="253"/>
      <c r="H727" s="254" t="s">
        <v>165</v>
      </c>
      <c r="I727" s="255" t="s">
        <v>164</v>
      </c>
      <c r="K727" s="247"/>
      <c r="L727" s="247"/>
    </row>
    <row r="728">
      <c r="A728" s="248"/>
      <c r="D728" s="251" t="s">
        <v>65</v>
      </c>
      <c r="E728" s="251">
        <v>3.0</v>
      </c>
      <c r="F728" s="257"/>
      <c r="G728" s="258"/>
      <c r="H728" s="254" t="s">
        <v>284</v>
      </c>
      <c r="I728" s="255" t="s">
        <v>66</v>
      </c>
      <c r="K728" s="247"/>
      <c r="L728" s="247"/>
    </row>
    <row r="729">
      <c r="A729" s="259"/>
      <c r="B729" s="260"/>
      <c r="C729" s="260"/>
      <c r="D729" s="610" t="s">
        <v>7</v>
      </c>
      <c r="E729" s="610">
        <v>2.0</v>
      </c>
      <c r="F729" s="462"/>
      <c r="G729" s="611"/>
      <c r="H729" s="611" t="s">
        <v>9</v>
      </c>
      <c r="I729" s="612" t="s">
        <v>8</v>
      </c>
      <c r="K729" s="247"/>
      <c r="L729" s="247"/>
    </row>
    <row r="730">
      <c r="A730" s="328" t="s">
        <v>622</v>
      </c>
      <c r="B730" s="303" t="s">
        <v>623</v>
      </c>
      <c r="C730" s="263">
        <f>sum(E730:E734)</f>
        <v>8</v>
      </c>
      <c r="D730" s="553" t="s">
        <v>121</v>
      </c>
      <c r="E730" s="553">
        <v>1.0</v>
      </c>
      <c r="F730" s="518"/>
      <c r="G730" s="332"/>
      <c r="H730" s="333" t="s">
        <v>122</v>
      </c>
      <c r="I730" s="554" t="s">
        <v>106</v>
      </c>
      <c r="K730" s="247"/>
      <c r="L730" s="247"/>
    </row>
    <row r="731">
      <c r="A731" s="248"/>
      <c r="D731" s="251" t="s">
        <v>23</v>
      </c>
      <c r="E731" s="251">
        <v>2.0</v>
      </c>
      <c r="F731" s="256"/>
      <c r="G731" s="253"/>
      <c r="H731" s="254" t="s">
        <v>308</v>
      </c>
      <c r="I731" s="255" t="s">
        <v>24</v>
      </c>
      <c r="K731" s="247"/>
      <c r="L731" s="247"/>
    </row>
    <row r="732">
      <c r="A732" s="248"/>
      <c r="D732" s="361" t="s">
        <v>124</v>
      </c>
      <c r="E732" s="362">
        <v>1.0</v>
      </c>
      <c r="F732" s="105"/>
      <c r="G732" s="114"/>
      <c r="H732" s="114" t="s">
        <v>125</v>
      </c>
      <c r="I732" s="255" t="s">
        <v>106</v>
      </c>
      <c r="K732" s="247"/>
      <c r="L732" s="247"/>
    </row>
    <row r="733">
      <c r="A733" s="248"/>
      <c r="D733" s="251" t="s">
        <v>163</v>
      </c>
      <c r="E733" s="251">
        <v>2.0</v>
      </c>
      <c r="F733" s="256"/>
      <c r="G733" s="253"/>
      <c r="H733" s="254" t="s">
        <v>165</v>
      </c>
      <c r="I733" s="255" t="s">
        <v>164</v>
      </c>
      <c r="K733" s="247"/>
      <c r="L733" s="247"/>
    </row>
    <row r="734">
      <c r="A734" s="259"/>
      <c r="B734" s="260"/>
      <c r="C734" s="260"/>
      <c r="D734" s="613" t="s">
        <v>71</v>
      </c>
      <c r="E734" s="613">
        <v>2.0</v>
      </c>
      <c r="F734" s="614"/>
      <c r="G734" s="615"/>
      <c r="H734" s="616" t="s">
        <v>72</v>
      </c>
      <c r="I734" s="617" t="s">
        <v>66</v>
      </c>
      <c r="K734" s="247"/>
      <c r="L734" s="247"/>
    </row>
    <row r="735">
      <c r="A735" s="261" t="s">
        <v>624</v>
      </c>
      <c r="B735" s="262" t="s">
        <v>625</v>
      </c>
      <c r="C735" s="263">
        <f>sum(E735:E739)</f>
        <v>8</v>
      </c>
      <c r="D735" s="553" t="s">
        <v>89</v>
      </c>
      <c r="E735" s="553">
        <v>1.0</v>
      </c>
      <c r="F735" s="518"/>
      <c r="G735" s="332"/>
      <c r="H735" s="333" t="s">
        <v>90</v>
      </c>
      <c r="I735" s="554" t="s">
        <v>66</v>
      </c>
      <c r="K735" s="247"/>
      <c r="L735" s="247"/>
    </row>
    <row r="736">
      <c r="A736" s="248"/>
      <c r="D736" s="306" t="s">
        <v>98</v>
      </c>
      <c r="E736" s="306">
        <v>2.0</v>
      </c>
      <c r="F736" s="274"/>
      <c r="G736" s="274"/>
      <c r="H736" s="275" t="s">
        <v>100</v>
      </c>
      <c r="I736" s="255" t="s">
        <v>99</v>
      </c>
      <c r="K736" s="247"/>
      <c r="L736" s="247"/>
    </row>
    <row r="737">
      <c r="A737" s="248"/>
      <c r="D737" s="251" t="s">
        <v>160</v>
      </c>
      <c r="E737" s="251">
        <v>1.0</v>
      </c>
      <c r="F737" s="306"/>
      <c r="G737" s="306"/>
      <c r="H737" s="254" t="s">
        <v>161</v>
      </c>
      <c r="I737" s="287" t="s">
        <v>145</v>
      </c>
      <c r="K737" s="247"/>
      <c r="L737" s="247"/>
    </row>
    <row r="738">
      <c r="A738" s="248"/>
      <c r="D738" s="251" t="s">
        <v>163</v>
      </c>
      <c r="E738" s="251">
        <v>2.0</v>
      </c>
      <c r="F738" s="256"/>
      <c r="G738" s="253"/>
      <c r="H738" s="254" t="s">
        <v>165</v>
      </c>
      <c r="I738" s="255" t="s">
        <v>164</v>
      </c>
      <c r="K738" s="247"/>
      <c r="L738" s="247"/>
    </row>
    <row r="739">
      <c r="A739" s="259"/>
      <c r="B739" s="260"/>
      <c r="C739" s="260"/>
      <c r="D739" s="618" t="s">
        <v>109</v>
      </c>
      <c r="E739" s="619">
        <v>2.0</v>
      </c>
      <c r="F739" s="620"/>
      <c r="G739" s="621"/>
      <c r="H739" s="621" t="s">
        <v>110</v>
      </c>
      <c r="I739" s="546" t="s">
        <v>106</v>
      </c>
      <c r="K739" s="247"/>
      <c r="L739" s="247"/>
    </row>
    <row r="740">
      <c r="A740" s="261" t="s">
        <v>626</v>
      </c>
      <c r="B740" s="262" t="s">
        <v>408</v>
      </c>
      <c r="C740" s="263">
        <f>sum(E740:E742)</f>
        <v>8</v>
      </c>
      <c r="D740" s="264" t="s">
        <v>406</v>
      </c>
      <c r="E740" s="264">
        <v>3.0</v>
      </c>
      <c r="F740" s="330"/>
      <c r="G740" s="305"/>
      <c r="H740" s="285" t="s">
        <v>32</v>
      </c>
      <c r="I740" s="428" t="s">
        <v>31</v>
      </c>
      <c r="K740" s="247"/>
      <c r="L740" s="247"/>
    </row>
    <row r="741">
      <c r="A741" s="248"/>
      <c r="D741" s="357" t="s">
        <v>176</v>
      </c>
      <c r="E741" s="357">
        <v>4.0</v>
      </c>
      <c r="F741" s="253"/>
      <c r="G741" s="253"/>
      <c r="H741" s="254" t="s">
        <v>290</v>
      </c>
      <c r="I741" s="255" t="s">
        <v>177</v>
      </c>
      <c r="K741" s="247"/>
      <c r="L741" s="247"/>
    </row>
    <row r="742">
      <c r="A742" s="259"/>
      <c r="B742" s="260"/>
      <c r="C742" s="260"/>
      <c r="D742" s="277" t="s">
        <v>118</v>
      </c>
      <c r="E742" s="277">
        <v>1.0</v>
      </c>
      <c r="F742" s="316"/>
      <c r="G742" s="316"/>
      <c r="H742" s="280" t="s">
        <v>323</v>
      </c>
      <c r="I742" s="281" t="s">
        <v>106</v>
      </c>
      <c r="K742" s="247"/>
      <c r="L742" s="247"/>
    </row>
    <row r="743">
      <c r="A743" s="261" t="s">
        <v>627</v>
      </c>
      <c r="B743" s="262" t="s">
        <v>628</v>
      </c>
      <c r="C743" s="263">
        <f>sum(E743:E746)</f>
        <v>8</v>
      </c>
      <c r="D743" s="304" t="s">
        <v>176</v>
      </c>
      <c r="E743" s="304">
        <v>3.0</v>
      </c>
      <c r="F743" s="305"/>
      <c r="G743" s="305"/>
      <c r="H743" s="285" t="s">
        <v>290</v>
      </c>
      <c r="I743" s="286" t="s">
        <v>177</v>
      </c>
      <c r="K743" s="247"/>
      <c r="L743" s="247"/>
    </row>
    <row r="744">
      <c r="A744" s="248"/>
      <c r="D744" s="251" t="s">
        <v>163</v>
      </c>
      <c r="E744" s="251">
        <v>2.0</v>
      </c>
      <c r="F744" s="256"/>
      <c r="G744" s="253"/>
      <c r="H744" s="254" t="s">
        <v>165</v>
      </c>
      <c r="I744" s="255" t="s">
        <v>164</v>
      </c>
      <c r="K744" s="247"/>
      <c r="L744" s="247"/>
    </row>
    <row r="745">
      <c r="A745" s="248"/>
      <c r="D745" s="306" t="s">
        <v>62</v>
      </c>
      <c r="E745" s="306">
        <v>1.0</v>
      </c>
      <c r="F745" s="274"/>
      <c r="G745" s="274"/>
      <c r="H745" s="275" t="s">
        <v>63</v>
      </c>
      <c r="I745" s="255" t="s">
        <v>44</v>
      </c>
      <c r="K745" s="247"/>
      <c r="L745" s="247"/>
    </row>
    <row r="746">
      <c r="A746" s="259"/>
      <c r="B746" s="260"/>
      <c r="C746" s="260"/>
      <c r="D746" s="277" t="s">
        <v>291</v>
      </c>
      <c r="E746" s="277">
        <v>2.0</v>
      </c>
      <c r="F746" s="278"/>
      <c r="G746" s="279"/>
      <c r="H746" s="280" t="s">
        <v>284</v>
      </c>
      <c r="I746" s="281" t="s">
        <v>66</v>
      </c>
      <c r="K746" s="247"/>
      <c r="L746" s="247"/>
    </row>
    <row r="747">
      <c r="A747" s="261" t="s">
        <v>629</v>
      </c>
      <c r="B747" s="262" t="s">
        <v>630</v>
      </c>
      <c r="C747" s="263">
        <f>sum(E747:E751)</f>
        <v>8</v>
      </c>
      <c r="D747" s="556" t="s">
        <v>86</v>
      </c>
      <c r="E747" s="556">
        <v>1.0</v>
      </c>
      <c r="F747" s="63"/>
      <c r="G747" s="65"/>
      <c r="H747" s="65" t="s">
        <v>87</v>
      </c>
      <c r="I747" s="320" t="s">
        <v>66</v>
      </c>
      <c r="K747" s="247"/>
      <c r="L747" s="247"/>
    </row>
    <row r="748">
      <c r="A748" s="248"/>
      <c r="D748" s="622" t="s">
        <v>43</v>
      </c>
      <c r="E748" s="622">
        <v>2.0</v>
      </c>
      <c r="F748" s="623"/>
      <c r="G748" s="622"/>
      <c r="H748" s="624" t="s">
        <v>45</v>
      </c>
      <c r="I748" s="625" t="s">
        <v>44</v>
      </c>
      <c r="K748" s="247"/>
      <c r="L748" s="247"/>
    </row>
    <row r="749">
      <c r="A749" s="248"/>
      <c r="D749" s="251" t="s">
        <v>154</v>
      </c>
      <c r="E749" s="251">
        <v>2.0</v>
      </c>
      <c r="F749" s="256"/>
      <c r="G749" s="253"/>
      <c r="H749" s="254" t="s">
        <v>155</v>
      </c>
      <c r="I749" s="287" t="s">
        <v>145</v>
      </c>
      <c r="K749" s="247"/>
      <c r="L749" s="247"/>
    </row>
    <row r="750">
      <c r="A750" s="248"/>
      <c r="D750" s="557" t="s">
        <v>170</v>
      </c>
      <c r="E750" s="557">
        <v>1.0</v>
      </c>
      <c r="F750" s="151"/>
      <c r="G750" s="152"/>
      <c r="H750" s="152" t="s">
        <v>171</v>
      </c>
      <c r="I750" s="558" t="s">
        <v>164</v>
      </c>
      <c r="K750" s="247"/>
      <c r="L750" s="247"/>
    </row>
    <row r="751">
      <c r="A751" s="259"/>
      <c r="B751" s="260"/>
      <c r="C751" s="260"/>
      <c r="D751" s="338" t="s">
        <v>151</v>
      </c>
      <c r="E751" s="338">
        <v>2.0</v>
      </c>
      <c r="F751" s="339"/>
      <c r="G751" s="339"/>
      <c r="H751" s="339" t="s">
        <v>152</v>
      </c>
      <c r="I751" s="342" t="s">
        <v>145</v>
      </c>
      <c r="K751" s="247"/>
      <c r="L751" s="247"/>
    </row>
    <row r="752">
      <c r="A752" s="261" t="s">
        <v>631</v>
      </c>
      <c r="B752" s="262" t="s">
        <v>432</v>
      </c>
      <c r="C752" s="263">
        <f>sum(E752:E757)</f>
        <v>8</v>
      </c>
      <c r="D752" s="264" t="s">
        <v>23</v>
      </c>
      <c r="E752" s="264">
        <v>2.0</v>
      </c>
      <c r="F752" s="374"/>
      <c r="G752" s="305"/>
      <c r="H752" s="285" t="s">
        <v>308</v>
      </c>
      <c r="I752" s="286" t="s">
        <v>24</v>
      </c>
      <c r="K752" s="247"/>
      <c r="L752" s="247"/>
    </row>
    <row r="753">
      <c r="A753" s="248"/>
      <c r="D753" s="335" t="s">
        <v>34</v>
      </c>
      <c r="E753" s="335">
        <v>1.0</v>
      </c>
      <c r="F753" s="39"/>
      <c r="G753" s="41"/>
      <c r="H753" s="41" t="s">
        <v>35</v>
      </c>
      <c r="I753" s="626" t="s">
        <v>31</v>
      </c>
      <c r="K753" s="247"/>
      <c r="L753" s="247"/>
    </row>
    <row r="754">
      <c r="A754" s="248"/>
      <c r="D754" s="306" t="s">
        <v>98</v>
      </c>
      <c r="E754" s="306">
        <v>2.0</v>
      </c>
      <c r="F754" s="274"/>
      <c r="G754" s="274"/>
      <c r="H754" s="275" t="s">
        <v>100</v>
      </c>
      <c r="I754" s="255" t="s">
        <v>99</v>
      </c>
      <c r="K754" s="247"/>
      <c r="L754" s="247"/>
    </row>
    <row r="755">
      <c r="A755" s="248"/>
      <c r="D755" s="251" t="s">
        <v>121</v>
      </c>
      <c r="E755" s="251">
        <v>1.0</v>
      </c>
      <c r="F755" s="364"/>
      <c r="G755" s="364"/>
      <c r="H755" s="293" t="s">
        <v>328</v>
      </c>
      <c r="I755" s="255" t="s">
        <v>106</v>
      </c>
      <c r="K755" s="247"/>
      <c r="L755" s="247"/>
    </row>
    <row r="756">
      <c r="A756" s="248"/>
      <c r="D756" s="251" t="s">
        <v>135</v>
      </c>
      <c r="E756" s="251">
        <v>1.0</v>
      </c>
      <c r="F756" s="252"/>
      <c r="G756" s="253"/>
      <c r="H756" s="254" t="s">
        <v>136</v>
      </c>
      <c r="I756" s="255" t="s">
        <v>106</v>
      </c>
      <c r="K756" s="247"/>
      <c r="L756" s="247"/>
    </row>
    <row r="757">
      <c r="A757" s="259"/>
      <c r="B757" s="260"/>
      <c r="C757" s="260"/>
      <c r="D757" s="452" t="s">
        <v>190</v>
      </c>
      <c r="E757" s="461">
        <v>1.0</v>
      </c>
      <c r="F757" s="462"/>
      <c r="G757" s="463"/>
      <c r="H757" s="464" t="s">
        <v>191</v>
      </c>
      <c r="I757" s="465" t="s">
        <v>187</v>
      </c>
      <c r="K757" s="247"/>
      <c r="L757" s="247"/>
    </row>
    <row r="758">
      <c r="A758" s="261" t="s">
        <v>632</v>
      </c>
      <c r="B758" s="262" t="s">
        <v>633</v>
      </c>
      <c r="C758" s="263">
        <f>sum(E758:E764)</f>
        <v>8</v>
      </c>
      <c r="D758" s="264" t="s">
        <v>23</v>
      </c>
      <c r="E758" s="264">
        <v>2.0</v>
      </c>
      <c r="F758" s="370"/>
      <c r="G758" s="371"/>
      <c r="H758" s="266" t="s">
        <v>308</v>
      </c>
      <c r="I758" s="286" t="s">
        <v>24</v>
      </c>
      <c r="K758" s="247"/>
      <c r="L758" s="247"/>
    </row>
    <row r="759">
      <c r="A759" s="248"/>
      <c r="D759" s="434" t="s">
        <v>27</v>
      </c>
      <c r="E759" s="435">
        <v>1.0</v>
      </c>
      <c r="F759" s="436"/>
      <c r="G759" s="437"/>
      <c r="H759" s="438" t="s">
        <v>28</v>
      </c>
      <c r="I759" s="439" t="s">
        <v>24</v>
      </c>
      <c r="K759" s="247"/>
      <c r="L759" s="247"/>
    </row>
    <row r="760">
      <c r="A760" s="248"/>
      <c r="D760" s="251" t="s">
        <v>163</v>
      </c>
      <c r="E760" s="251">
        <v>2.0</v>
      </c>
      <c r="F760" s="256"/>
      <c r="G760" s="252"/>
      <c r="H760" s="294" t="s">
        <v>165</v>
      </c>
      <c r="I760" s="255" t="s">
        <v>164</v>
      </c>
      <c r="K760" s="247"/>
      <c r="L760" s="247"/>
    </row>
    <row r="761">
      <c r="A761" s="248"/>
      <c r="D761" s="251" t="s">
        <v>141</v>
      </c>
      <c r="E761" s="251">
        <v>1.0</v>
      </c>
      <c r="F761" s="364"/>
      <c r="G761" s="364"/>
      <c r="H761" s="293" t="s">
        <v>142</v>
      </c>
      <c r="I761" s="255" t="s">
        <v>106</v>
      </c>
      <c r="K761" s="247"/>
      <c r="L761" s="247"/>
    </row>
    <row r="762">
      <c r="A762" s="248"/>
      <c r="D762" s="251" t="s">
        <v>118</v>
      </c>
      <c r="E762" s="251">
        <v>1.0</v>
      </c>
      <c r="F762" s="253"/>
      <c r="G762" s="253"/>
      <c r="H762" s="254" t="s">
        <v>323</v>
      </c>
      <c r="I762" s="255" t="s">
        <v>106</v>
      </c>
      <c r="K762" s="247"/>
      <c r="L762" s="247"/>
    </row>
    <row r="763">
      <c r="A763" s="248"/>
      <c r="D763" s="251" t="s">
        <v>121</v>
      </c>
      <c r="E763" s="251">
        <v>1.0</v>
      </c>
      <c r="F763" s="364"/>
      <c r="G763" s="364"/>
      <c r="H763" s="293" t="s">
        <v>328</v>
      </c>
      <c r="I763" s="255" t="s">
        <v>106</v>
      </c>
      <c r="K763" s="247"/>
      <c r="L763" s="247"/>
    </row>
    <row r="764">
      <c r="A764" s="259"/>
      <c r="B764" s="260"/>
      <c r="C764" s="260"/>
      <c r="D764" s="627" t="s">
        <v>95</v>
      </c>
      <c r="E764" s="628">
        <v>0.0</v>
      </c>
      <c r="F764" s="629"/>
      <c r="G764" s="629"/>
      <c r="H764" s="629" t="s">
        <v>96</v>
      </c>
      <c r="I764" s="630" t="s">
        <v>66</v>
      </c>
      <c r="K764" s="247"/>
      <c r="L764" s="247"/>
    </row>
    <row r="765">
      <c r="A765" s="261" t="s">
        <v>634</v>
      </c>
      <c r="B765" s="262" t="s">
        <v>475</v>
      </c>
      <c r="C765" s="263">
        <f>sum(E765:E768)</f>
        <v>8</v>
      </c>
      <c r="D765" s="264" t="s">
        <v>291</v>
      </c>
      <c r="E765" s="264">
        <v>2.0</v>
      </c>
      <c r="F765" s="283"/>
      <c r="G765" s="284"/>
      <c r="H765" s="285" t="s">
        <v>284</v>
      </c>
      <c r="I765" s="286" t="s">
        <v>66</v>
      </c>
      <c r="K765" s="247"/>
      <c r="L765" s="247"/>
    </row>
    <row r="766">
      <c r="A766" s="248"/>
      <c r="D766" s="357" t="s">
        <v>176</v>
      </c>
      <c r="E766" s="357">
        <v>3.0</v>
      </c>
      <c r="F766" s="253"/>
      <c r="G766" s="253"/>
      <c r="H766" s="254" t="s">
        <v>290</v>
      </c>
      <c r="I766" s="255" t="s">
        <v>177</v>
      </c>
      <c r="K766" s="247"/>
      <c r="L766" s="247"/>
    </row>
    <row r="767">
      <c r="A767" s="248"/>
      <c r="D767" s="306" t="s">
        <v>157</v>
      </c>
      <c r="E767" s="306">
        <v>2.0</v>
      </c>
      <c r="F767" s="274"/>
      <c r="G767" s="274"/>
      <c r="H767" s="275" t="s">
        <v>158</v>
      </c>
      <c r="I767" s="287" t="s">
        <v>145</v>
      </c>
      <c r="K767" s="247"/>
      <c r="L767" s="247"/>
    </row>
    <row r="768">
      <c r="A768" s="259"/>
      <c r="B768" s="260"/>
      <c r="C768" s="260"/>
      <c r="D768" s="251" t="s">
        <v>285</v>
      </c>
      <c r="E768" s="251">
        <v>1.0</v>
      </c>
      <c r="F768" s="257"/>
      <c r="G768" s="258"/>
      <c r="H768" s="254" t="s">
        <v>116</v>
      </c>
      <c r="I768" s="255" t="s">
        <v>106</v>
      </c>
      <c r="K768" s="247"/>
      <c r="L768" s="247"/>
    </row>
    <row r="769">
      <c r="A769" s="261" t="s">
        <v>635</v>
      </c>
      <c r="B769" s="262" t="s">
        <v>636</v>
      </c>
      <c r="C769" s="263">
        <f>sum(E769:E772)</f>
        <v>8</v>
      </c>
      <c r="D769" s="264" t="s">
        <v>163</v>
      </c>
      <c r="E769" s="264">
        <v>2.0</v>
      </c>
      <c r="F769" s="374"/>
      <c r="G769" s="305"/>
      <c r="H769" s="285" t="s">
        <v>165</v>
      </c>
      <c r="I769" s="286" t="s">
        <v>164</v>
      </c>
    </row>
    <row r="770">
      <c r="A770" s="248"/>
      <c r="D770" s="251" t="s">
        <v>285</v>
      </c>
      <c r="E770" s="251">
        <v>1.0</v>
      </c>
      <c r="F770" s="631"/>
      <c r="G770" s="632"/>
      <c r="H770" s="633" t="s">
        <v>116</v>
      </c>
      <c r="I770" s="255" t="s">
        <v>106</v>
      </c>
    </row>
    <row r="771">
      <c r="A771" s="248"/>
      <c r="D771" s="306" t="s">
        <v>98</v>
      </c>
      <c r="E771" s="306">
        <v>2.0</v>
      </c>
      <c r="F771" s="274"/>
      <c r="G771" s="274"/>
      <c r="H771" s="275" t="s">
        <v>100</v>
      </c>
      <c r="I771" s="255" t="s">
        <v>99</v>
      </c>
    </row>
    <row r="772">
      <c r="A772" s="259"/>
      <c r="B772" s="260"/>
      <c r="C772" s="260"/>
      <c r="D772" s="314" t="s">
        <v>176</v>
      </c>
      <c r="E772" s="314">
        <v>3.0</v>
      </c>
      <c r="F772" s="316"/>
      <c r="G772" s="316"/>
      <c r="H772" s="280" t="s">
        <v>290</v>
      </c>
      <c r="I772" s="281" t="s">
        <v>177</v>
      </c>
    </row>
    <row r="773">
      <c r="A773" s="240" t="s">
        <v>637</v>
      </c>
      <c r="B773" s="241" t="s">
        <v>638</v>
      </c>
      <c r="C773" s="460">
        <f>sum(E773:E776)</f>
        <v>8</v>
      </c>
      <c r="D773" s="306" t="s">
        <v>98</v>
      </c>
      <c r="E773" s="306">
        <v>2.0</v>
      </c>
      <c r="F773" s="274"/>
      <c r="G773" s="274"/>
      <c r="H773" s="275" t="s">
        <v>100</v>
      </c>
      <c r="I773" s="255" t="s">
        <v>99</v>
      </c>
    </row>
    <row r="774">
      <c r="A774" s="248"/>
      <c r="D774" s="251" t="s">
        <v>163</v>
      </c>
      <c r="E774" s="251">
        <v>2.0</v>
      </c>
      <c r="F774" s="256"/>
      <c r="G774" s="253"/>
      <c r="H774" s="254" t="s">
        <v>165</v>
      </c>
      <c r="I774" s="255" t="s">
        <v>164</v>
      </c>
    </row>
    <row r="775">
      <c r="A775" s="248"/>
      <c r="D775" s="251" t="s">
        <v>50</v>
      </c>
      <c r="E775" s="251">
        <v>2.0</v>
      </c>
      <c r="F775" s="252"/>
      <c r="G775" s="253"/>
      <c r="H775" s="254" t="s">
        <v>51</v>
      </c>
      <c r="I775" s="255" t="s">
        <v>44</v>
      </c>
    </row>
    <row r="776">
      <c r="A776" s="259"/>
      <c r="B776" s="260"/>
      <c r="C776" s="260"/>
      <c r="D776" s="277" t="s">
        <v>20</v>
      </c>
      <c r="E776" s="277">
        <v>2.0</v>
      </c>
      <c r="F776" s="315"/>
      <c r="G776" s="316"/>
      <c r="H776" s="280" t="s">
        <v>21</v>
      </c>
      <c r="I776" s="281" t="s">
        <v>8</v>
      </c>
    </row>
    <row r="777">
      <c r="A777" s="261" t="s">
        <v>639</v>
      </c>
      <c r="B777" s="476" t="s">
        <v>640</v>
      </c>
      <c r="C777" s="263">
        <f>sum(E777:E780)</f>
        <v>8</v>
      </c>
      <c r="D777" s="264" t="s">
        <v>148</v>
      </c>
      <c r="E777" s="264">
        <v>3.0</v>
      </c>
      <c r="F777" s="265"/>
      <c r="G777" s="265"/>
      <c r="H777" s="266" t="s">
        <v>146</v>
      </c>
      <c r="I777" s="267" t="s">
        <v>145</v>
      </c>
    </row>
    <row r="778">
      <c r="A778" s="248"/>
      <c r="D778" s="358" t="s">
        <v>151</v>
      </c>
      <c r="E778" s="358">
        <v>2.0</v>
      </c>
      <c r="F778" s="359"/>
      <c r="G778" s="359"/>
      <c r="H778" s="359" t="s">
        <v>152</v>
      </c>
      <c r="I778" s="360" t="s">
        <v>145</v>
      </c>
    </row>
    <row r="779">
      <c r="A779" s="248"/>
      <c r="D779" s="251" t="s">
        <v>105</v>
      </c>
      <c r="E779" s="251">
        <v>2.0</v>
      </c>
      <c r="F779" s="364"/>
      <c r="G779" s="364"/>
      <c r="H779" s="293" t="s">
        <v>107</v>
      </c>
      <c r="I779" s="255" t="s">
        <v>106</v>
      </c>
    </row>
    <row r="780">
      <c r="A780" s="259"/>
      <c r="B780" s="260"/>
      <c r="C780" s="260"/>
      <c r="D780" s="634" t="s">
        <v>130</v>
      </c>
      <c r="E780" s="634">
        <v>1.0</v>
      </c>
      <c r="F780" s="417"/>
      <c r="G780" s="635"/>
      <c r="H780" s="636" t="s">
        <v>131</v>
      </c>
      <c r="I780" s="420" t="s">
        <v>106</v>
      </c>
    </row>
    <row r="781">
      <c r="A781" s="261" t="s">
        <v>641</v>
      </c>
      <c r="B781" s="476" t="s">
        <v>642</v>
      </c>
      <c r="C781" s="263">
        <f>sum(E781:E785)</f>
        <v>8</v>
      </c>
      <c r="D781" s="265" t="s">
        <v>98</v>
      </c>
      <c r="E781" s="265">
        <v>2.0</v>
      </c>
      <c r="F781" s="332"/>
      <c r="G781" s="332"/>
      <c r="H781" s="333" t="s">
        <v>100</v>
      </c>
      <c r="I781" s="286" t="s">
        <v>99</v>
      </c>
    </row>
    <row r="782">
      <c r="A782" s="248"/>
      <c r="D782" s="334" t="s">
        <v>40</v>
      </c>
      <c r="E782" s="335">
        <v>1.0</v>
      </c>
      <c r="F782" s="39"/>
      <c r="G782" s="41"/>
      <c r="H782" s="41" t="s">
        <v>41</v>
      </c>
      <c r="I782" s="336" t="s">
        <v>31</v>
      </c>
    </row>
    <row r="783">
      <c r="A783" s="248"/>
      <c r="D783" s="298" t="s">
        <v>77</v>
      </c>
      <c r="E783" s="298">
        <v>2.0</v>
      </c>
      <c r="F783" s="70"/>
      <c r="G783" s="71"/>
      <c r="H783" s="71" t="s">
        <v>78</v>
      </c>
      <c r="I783" s="307" t="s">
        <v>66</v>
      </c>
    </row>
    <row r="784">
      <c r="A784" s="248"/>
      <c r="D784" s="251" t="s">
        <v>12</v>
      </c>
      <c r="E784" s="251">
        <v>2.0</v>
      </c>
      <c r="F784" s="364"/>
      <c r="G784" s="364"/>
      <c r="H784" s="293" t="s">
        <v>349</v>
      </c>
      <c r="I784" s="255" t="s">
        <v>8</v>
      </c>
    </row>
    <row r="785">
      <c r="A785" s="259"/>
      <c r="B785" s="260"/>
      <c r="C785" s="260"/>
      <c r="D785" s="277" t="s">
        <v>59</v>
      </c>
      <c r="E785" s="277">
        <v>1.0</v>
      </c>
      <c r="F785" s="277"/>
      <c r="G785" s="277"/>
      <c r="H785" s="300" t="s">
        <v>60</v>
      </c>
      <c r="I785" s="281" t="s">
        <v>44</v>
      </c>
    </row>
    <row r="786">
      <c r="A786" s="261" t="s">
        <v>468</v>
      </c>
      <c r="B786" s="476" t="s">
        <v>561</v>
      </c>
      <c r="C786" s="263">
        <f>sum(E786:E790)</f>
        <v>8</v>
      </c>
      <c r="D786" s="499" t="s">
        <v>7</v>
      </c>
      <c r="E786" s="499">
        <v>2.0</v>
      </c>
      <c r="F786" s="500"/>
      <c r="G786" s="501"/>
      <c r="H786" s="501" t="s">
        <v>9</v>
      </c>
      <c r="I786" s="502" t="s">
        <v>8</v>
      </c>
    </row>
    <row r="787">
      <c r="A787" s="248"/>
      <c r="D787" s="251" t="s">
        <v>59</v>
      </c>
      <c r="E787" s="251">
        <v>1.0</v>
      </c>
      <c r="F787" s="251"/>
      <c r="G787" s="251"/>
      <c r="H787" s="293" t="s">
        <v>60</v>
      </c>
      <c r="I787" s="255" t="s">
        <v>44</v>
      </c>
    </row>
    <row r="788">
      <c r="A788" s="248"/>
      <c r="D788" s="295" t="s">
        <v>71</v>
      </c>
      <c r="E788" s="295">
        <v>2.0</v>
      </c>
      <c r="F788" s="70"/>
      <c r="G788" s="72"/>
      <c r="H788" s="296" t="s">
        <v>72</v>
      </c>
      <c r="I788" s="297" t="s">
        <v>66</v>
      </c>
    </row>
    <row r="789">
      <c r="A789" s="248"/>
      <c r="D789" s="288" t="s">
        <v>190</v>
      </c>
      <c r="E789" s="289">
        <v>1.0</v>
      </c>
      <c r="F789" s="12"/>
      <c r="G789" s="290"/>
      <c r="H789" s="291" t="s">
        <v>191</v>
      </c>
      <c r="I789" s="292" t="s">
        <v>187</v>
      </c>
    </row>
    <row r="790">
      <c r="A790" s="259"/>
      <c r="B790" s="260"/>
      <c r="C790" s="260"/>
      <c r="D790" s="277" t="s">
        <v>105</v>
      </c>
      <c r="E790" s="277">
        <v>2.0</v>
      </c>
      <c r="F790" s="308"/>
      <c r="G790" s="308"/>
      <c r="H790" s="300" t="s">
        <v>107</v>
      </c>
      <c r="I790" s="281" t="s">
        <v>106</v>
      </c>
    </row>
    <row r="791">
      <c r="A791" s="261" t="s">
        <v>643</v>
      </c>
      <c r="B791" s="262" t="s">
        <v>644</v>
      </c>
      <c r="C791" s="263">
        <f>sum(E791:E795)</f>
        <v>8</v>
      </c>
      <c r="D791" s="264" t="s">
        <v>23</v>
      </c>
      <c r="E791" s="264">
        <v>2.0</v>
      </c>
      <c r="F791" s="374"/>
      <c r="G791" s="305"/>
      <c r="H791" s="285" t="s">
        <v>308</v>
      </c>
      <c r="I791" s="286" t="s">
        <v>24</v>
      </c>
      <c r="K791" s="247"/>
      <c r="L791" s="247"/>
    </row>
    <row r="792">
      <c r="A792" s="248"/>
      <c r="D792" s="622" t="s">
        <v>43</v>
      </c>
      <c r="E792" s="622">
        <v>2.0</v>
      </c>
      <c r="F792" s="623"/>
      <c r="G792" s="622"/>
      <c r="H792" s="624" t="s">
        <v>45</v>
      </c>
      <c r="I792" s="625" t="s">
        <v>44</v>
      </c>
      <c r="K792" s="247"/>
      <c r="L792" s="247"/>
    </row>
    <row r="793">
      <c r="A793" s="248"/>
      <c r="D793" s="552" t="s">
        <v>86</v>
      </c>
      <c r="E793" s="552">
        <v>1.0</v>
      </c>
      <c r="F793" s="70"/>
      <c r="G793" s="72"/>
      <c r="H793" s="72" t="s">
        <v>87</v>
      </c>
      <c r="I793" s="307" t="s">
        <v>66</v>
      </c>
      <c r="K793" s="247"/>
      <c r="L793" s="247"/>
    </row>
    <row r="794">
      <c r="A794" s="248"/>
      <c r="D794" s="251" t="s">
        <v>291</v>
      </c>
      <c r="E794" s="251">
        <v>2.0</v>
      </c>
      <c r="F794" s="257"/>
      <c r="G794" s="258"/>
      <c r="H794" s="254" t="s">
        <v>284</v>
      </c>
      <c r="I794" s="255" t="s">
        <v>66</v>
      </c>
      <c r="K794" s="247"/>
      <c r="L794" s="247"/>
    </row>
    <row r="795">
      <c r="A795" s="259"/>
      <c r="B795" s="260"/>
      <c r="C795" s="260"/>
      <c r="D795" s="415" t="s">
        <v>138</v>
      </c>
      <c r="E795" s="416">
        <v>1.0</v>
      </c>
      <c r="F795" s="417"/>
      <c r="G795" s="418"/>
      <c r="H795" s="419" t="s">
        <v>139</v>
      </c>
      <c r="I795" s="420" t="s">
        <v>106</v>
      </c>
      <c r="K795" s="247"/>
      <c r="L795" s="247"/>
    </row>
    <row r="796">
      <c r="A796" s="302" t="s">
        <v>645</v>
      </c>
      <c r="B796" s="476" t="s">
        <v>646</v>
      </c>
      <c r="C796" s="263">
        <f>sum(E796:E798)</f>
        <v>8</v>
      </c>
      <c r="D796" s="264" t="s">
        <v>163</v>
      </c>
      <c r="E796" s="264">
        <v>2.0</v>
      </c>
      <c r="F796" s="374"/>
      <c r="G796" s="305"/>
      <c r="H796" s="285" t="s">
        <v>165</v>
      </c>
      <c r="I796" s="286" t="s">
        <v>164</v>
      </c>
    </row>
    <row r="797">
      <c r="A797" s="248"/>
      <c r="D797" s="251" t="s">
        <v>148</v>
      </c>
      <c r="E797" s="251">
        <v>3.0</v>
      </c>
      <c r="F797" s="306"/>
      <c r="G797" s="306"/>
      <c r="H797" s="293" t="s">
        <v>146</v>
      </c>
      <c r="I797" s="287" t="s">
        <v>145</v>
      </c>
    </row>
    <row r="798">
      <c r="A798" s="259"/>
      <c r="B798" s="260"/>
      <c r="C798" s="260"/>
      <c r="D798" s="314" t="s">
        <v>176</v>
      </c>
      <c r="E798" s="314">
        <v>3.0</v>
      </c>
      <c r="F798" s="316"/>
      <c r="G798" s="316"/>
      <c r="H798" s="280" t="s">
        <v>290</v>
      </c>
      <c r="I798" s="281" t="s">
        <v>177</v>
      </c>
    </row>
    <row r="799">
      <c r="A799" s="637" t="s">
        <v>647</v>
      </c>
      <c r="B799" s="638" t="s">
        <v>648</v>
      </c>
      <c r="C799" s="639">
        <f>sum(E799)</f>
        <v>8</v>
      </c>
      <c r="D799" s="640" t="s">
        <v>649</v>
      </c>
      <c r="E799" s="640">
        <v>8.0</v>
      </c>
      <c r="F799" s="641"/>
      <c r="G799" s="642"/>
      <c r="H799" s="643" t="s">
        <v>650</v>
      </c>
      <c r="I799" s="644" t="s">
        <v>106</v>
      </c>
    </row>
    <row r="800">
      <c r="A800" s="328" t="s">
        <v>651</v>
      </c>
      <c r="B800" s="303" t="s">
        <v>652</v>
      </c>
      <c r="C800" s="263">
        <f>sum(E800:E803)</f>
        <v>8</v>
      </c>
      <c r="D800" s="264" t="s">
        <v>23</v>
      </c>
      <c r="E800" s="264">
        <v>2.0</v>
      </c>
      <c r="F800" s="370"/>
      <c r="G800" s="371"/>
      <c r="H800" s="266" t="s">
        <v>308</v>
      </c>
      <c r="I800" s="286" t="s">
        <v>24</v>
      </c>
    </row>
    <row r="801">
      <c r="A801" s="248"/>
      <c r="D801" s="251" t="s">
        <v>59</v>
      </c>
      <c r="E801" s="251">
        <v>1.0</v>
      </c>
      <c r="F801" s="251"/>
      <c r="G801" s="251"/>
      <c r="H801" s="293" t="s">
        <v>60</v>
      </c>
      <c r="I801" s="255" t="s">
        <v>44</v>
      </c>
    </row>
    <row r="802">
      <c r="A802" s="248"/>
      <c r="D802" s="357" t="s">
        <v>176</v>
      </c>
      <c r="E802" s="357">
        <v>3.0</v>
      </c>
      <c r="F802" s="253"/>
      <c r="G802" s="253"/>
      <c r="H802" s="254" t="s">
        <v>290</v>
      </c>
      <c r="I802" s="255" t="s">
        <v>177</v>
      </c>
    </row>
    <row r="803">
      <c r="A803" s="259"/>
      <c r="B803" s="260"/>
      <c r="C803" s="260"/>
      <c r="D803" s="277" t="s">
        <v>163</v>
      </c>
      <c r="E803" s="277">
        <v>2.0</v>
      </c>
      <c r="F803" s="365"/>
      <c r="G803" s="315"/>
      <c r="H803" s="466" t="s">
        <v>165</v>
      </c>
      <c r="I803" s="281" t="s">
        <v>164</v>
      </c>
    </row>
    <row r="804">
      <c r="A804" s="645" t="s">
        <v>653</v>
      </c>
      <c r="B804" s="327" t="s">
        <v>654</v>
      </c>
      <c r="C804" s="242">
        <f>sum(E804:E806)</f>
        <v>7</v>
      </c>
      <c r="D804" s="251" t="s">
        <v>144</v>
      </c>
      <c r="E804" s="251">
        <v>5.0</v>
      </c>
      <c r="F804" s="306"/>
      <c r="G804" s="306"/>
      <c r="H804" s="293" t="s">
        <v>146</v>
      </c>
      <c r="I804" s="287" t="s">
        <v>145</v>
      </c>
      <c r="K804" s="247"/>
      <c r="L804" s="247"/>
    </row>
    <row r="805">
      <c r="A805" s="248"/>
      <c r="D805" s="251" t="s">
        <v>285</v>
      </c>
      <c r="E805" s="251">
        <v>1.0</v>
      </c>
      <c r="F805" s="257"/>
      <c r="G805" s="258"/>
      <c r="H805" s="254" t="s">
        <v>116</v>
      </c>
      <c r="I805" s="255" t="s">
        <v>106</v>
      </c>
      <c r="K805" s="247"/>
      <c r="L805" s="247"/>
    </row>
    <row r="806">
      <c r="A806" s="259"/>
      <c r="B806" s="260"/>
      <c r="C806" s="260"/>
      <c r="D806" s="277" t="s">
        <v>118</v>
      </c>
      <c r="E806" s="277">
        <v>1.0</v>
      </c>
      <c r="F806" s="316"/>
      <c r="G806" s="316"/>
      <c r="H806" s="280" t="s">
        <v>323</v>
      </c>
      <c r="I806" s="255" t="s">
        <v>106</v>
      </c>
      <c r="K806" s="247"/>
      <c r="L806" s="247"/>
    </row>
    <row r="807">
      <c r="A807" s="261" t="s">
        <v>655</v>
      </c>
      <c r="B807" s="262" t="s">
        <v>656</v>
      </c>
      <c r="C807" s="263">
        <f>sum(E807:E809)</f>
        <v>7</v>
      </c>
      <c r="D807" s="264" t="s">
        <v>144</v>
      </c>
      <c r="E807" s="264">
        <v>5.0</v>
      </c>
      <c r="F807" s="265"/>
      <c r="G807" s="265"/>
      <c r="H807" s="266" t="s">
        <v>146</v>
      </c>
      <c r="I807" s="267" t="s">
        <v>145</v>
      </c>
      <c r="K807" s="247"/>
      <c r="L807" s="247"/>
    </row>
    <row r="808">
      <c r="A808" s="248"/>
      <c r="D808" s="273" t="s">
        <v>121</v>
      </c>
      <c r="E808" s="273">
        <v>1.0</v>
      </c>
      <c r="F808" s="3"/>
      <c r="G808" s="274"/>
      <c r="H808" s="275" t="s">
        <v>122</v>
      </c>
      <c r="I808" s="276" t="s">
        <v>106</v>
      </c>
      <c r="K808" s="247"/>
      <c r="L808" s="247"/>
    </row>
    <row r="809">
      <c r="A809" s="259"/>
      <c r="B809" s="260"/>
      <c r="C809" s="260"/>
      <c r="D809" s="277" t="s">
        <v>285</v>
      </c>
      <c r="E809" s="277">
        <v>1.0</v>
      </c>
      <c r="F809" s="278"/>
      <c r="G809" s="279"/>
      <c r="H809" s="280" t="s">
        <v>116</v>
      </c>
      <c r="I809" s="281" t="s">
        <v>106</v>
      </c>
      <c r="K809" s="247"/>
      <c r="L809" s="247"/>
    </row>
    <row r="810">
      <c r="A810" s="646" t="s">
        <v>657</v>
      </c>
      <c r="B810" s="647" t="s">
        <v>658</v>
      </c>
      <c r="C810" s="263">
        <f>sum(E810:E812)</f>
        <v>7</v>
      </c>
      <c r="D810" s="264" t="s">
        <v>144</v>
      </c>
      <c r="E810" s="264">
        <v>5.0</v>
      </c>
      <c r="F810" s="265"/>
      <c r="G810" s="265"/>
      <c r="H810" s="266" t="s">
        <v>146</v>
      </c>
      <c r="I810" s="267" t="s">
        <v>145</v>
      </c>
      <c r="K810" s="247"/>
      <c r="L810" s="247"/>
    </row>
    <row r="811">
      <c r="A811" s="248"/>
      <c r="D811" s="251" t="s">
        <v>285</v>
      </c>
      <c r="E811" s="251">
        <v>1.0</v>
      </c>
      <c r="F811" s="257"/>
      <c r="G811" s="258"/>
      <c r="H811" s="254" t="s">
        <v>116</v>
      </c>
      <c r="I811" s="255" t="s">
        <v>106</v>
      </c>
      <c r="K811" s="247"/>
      <c r="L811" s="247"/>
    </row>
    <row r="812">
      <c r="A812" s="259"/>
      <c r="B812" s="260"/>
      <c r="C812" s="260"/>
      <c r="D812" s="277" t="s">
        <v>135</v>
      </c>
      <c r="E812" s="277">
        <v>1.0</v>
      </c>
      <c r="F812" s="315"/>
      <c r="G812" s="316"/>
      <c r="H812" s="280" t="s">
        <v>136</v>
      </c>
      <c r="I812" s="281" t="s">
        <v>106</v>
      </c>
      <c r="K812" s="247"/>
      <c r="L812" s="247"/>
    </row>
    <row r="813">
      <c r="A813" s="261" t="s">
        <v>659</v>
      </c>
      <c r="B813" s="262" t="s">
        <v>660</v>
      </c>
      <c r="C813" s="263">
        <f>sum(E813:E815)</f>
        <v>7</v>
      </c>
      <c r="D813" s="264" t="s">
        <v>285</v>
      </c>
      <c r="E813" s="264">
        <v>1.0</v>
      </c>
      <c r="F813" s="283"/>
      <c r="G813" s="284"/>
      <c r="H813" s="285" t="s">
        <v>116</v>
      </c>
      <c r="I813" s="286" t="s">
        <v>106</v>
      </c>
      <c r="K813" s="247"/>
      <c r="L813" s="247"/>
    </row>
    <row r="814">
      <c r="A814" s="248"/>
      <c r="D814" s="251" t="s">
        <v>144</v>
      </c>
      <c r="E814" s="251">
        <v>5.0</v>
      </c>
      <c r="F814" s="306"/>
      <c r="G814" s="306"/>
      <c r="H814" s="293" t="s">
        <v>146</v>
      </c>
      <c r="I814" s="287" t="s">
        <v>145</v>
      </c>
      <c r="K814" s="247"/>
      <c r="L814" s="247"/>
    </row>
    <row r="815">
      <c r="A815" s="259"/>
      <c r="B815" s="260"/>
      <c r="C815" s="260"/>
      <c r="D815" s="277" t="s">
        <v>56</v>
      </c>
      <c r="E815" s="277">
        <v>1.0</v>
      </c>
      <c r="F815" s="315"/>
      <c r="G815" s="316"/>
      <c r="H815" s="280" t="s">
        <v>57</v>
      </c>
      <c r="I815" s="281" t="s">
        <v>44</v>
      </c>
      <c r="K815" s="247"/>
      <c r="L815" s="247"/>
    </row>
    <row r="816">
      <c r="A816" s="261" t="s">
        <v>661</v>
      </c>
      <c r="B816" s="262" t="s">
        <v>662</v>
      </c>
      <c r="C816" s="282">
        <f>sum(E816:E819)</f>
        <v>7</v>
      </c>
      <c r="D816" s="264" t="s">
        <v>80</v>
      </c>
      <c r="E816" s="264">
        <v>2.0</v>
      </c>
      <c r="F816" s="648" t="s">
        <v>663</v>
      </c>
      <c r="G816" s="344"/>
      <c r="H816" s="285" t="s">
        <v>81</v>
      </c>
      <c r="I816" s="255" t="s">
        <v>66</v>
      </c>
      <c r="K816" s="247"/>
      <c r="L816" s="247"/>
    </row>
    <row r="817">
      <c r="A817" s="248"/>
      <c r="D817" s="251" t="s">
        <v>50</v>
      </c>
      <c r="E817" s="251">
        <v>2.0</v>
      </c>
      <c r="H817" s="254" t="s">
        <v>51</v>
      </c>
      <c r="I817" s="255" t="s">
        <v>44</v>
      </c>
      <c r="K817" s="247"/>
      <c r="L817" s="247"/>
    </row>
    <row r="818">
      <c r="A818" s="248"/>
      <c r="D818" s="251" t="s">
        <v>167</v>
      </c>
      <c r="E818" s="251">
        <v>2.0</v>
      </c>
      <c r="H818" s="293" t="s">
        <v>168</v>
      </c>
      <c r="I818" s="255" t="s">
        <v>164</v>
      </c>
      <c r="K818" s="247"/>
      <c r="L818" s="247"/>
    </row>
    <row r="819">
      <c r="A819" s="248"/>
      <c r="C819" s="260"/>
      <c r="D819" s="277" t="s">
        <v>173</v>
      </c>
      <c r="E819" s="277">
        <v>1.0</v>
      </c>
      <c r="F819" s="260"/>
      <c r="G819" s="260"/>
      <c r="H819" s="280" t="s">
        <v>422</v>
      </c>
      <c r="I819" s="281" t="s">
        <v>164</v>
      </c>
      <c r="K819" s="247"/>
      <c r="L819" s="247"/>
    </row>
    <row r="820">
      <c r="A820" s="248"/>
      <c r="C820" s="242">
        <f>sum(E820:E822)</f>
        <v>4</v>
      </c>
      <c r="D820" s="264" t="s">
        <v>135</v>
      </c>
      <c r="E820" s="264">
        <v>1.0</v>
      </c>
      <c r="F820" s="648" t="s">
        <v>664</v>
      </c>
      <c r="G820" s="344"/>
      <c r="H820" s="285" t="s">
        <v>136</v>
      </c>
      <c r="I820" s="286" t="s">
        <v>106</v>
      </c>
      <c r="K820" s="247"/>
      <c r="L820" s="247"/>
    </row>
    <row r="821">
      <c r="A821" s="248"/>
      <c r="D821" s="251" t="s">
        <v>23</v>
      </c>
      <c r="E821" s="251">
        <v>2.0</v>
      </c>
      <c r="H821" s="254" t="s">
        <v>308</v>
      </c>
      <c r="I821" s="255" t="s">
        <v>24</v>
      </c>
      <c r="K821" s="247"/>
      <c r="L821" s="247"/>
    </row>
    <row r="822">
      <c r="A822" s="259"/>
      <c r="B822" s="260"/>
      <c r="C822" s="260"/>
      <c r="D822" s="277" t="s">
        <v>118</v>
      </c>
      <c r="E822" s="277">
        <v>1.0</v>
      </c>
      <c r="F822" s="260"/>
      <c r="G822" s="260"/>
      <c r="H822" s="280" t="s">
        <v>323</v>
      </c>
      <c r="I822" s="281" t="s">
        <v>106</v>
      </c>
      <c r="K822" s="247"/>
      <c r="L822" s="247"/>
    </row>
    <row r="823">
      <c r="A823" s="261" t="s">
        <v>665</v>
      </c>
      <c r="B823" s="262" t="s">
        <v>666</v>
      </c>
      <c r="C823" s="263">
        <f>sum(E823:E825)</f>
        <v>7</v>
      </c>
      <c r="D823" s="264" t="s">
        <v>144</v>
      </c>
      <c r="E823" s="264">
        <v>5.0</v>
      </c>
      <c r="F823" s="265"/>
      <c r="G823" s="265"/>
      <c r="H823" s="266" t="s">
        <v>146</v>
      </c>
      <c r="I823" s="267" t="s">
        <v>145</v>
      </c>
      <c r="K823" s="247"/>
      <c r="L823" s="247"/>
    </row>
    <row r="824">
      <c r="A824" s="248"/>
      <c r="D824" s="361" t="s">
        <v>138</v>
      </c>
      <c r="E824" s="362">
        <v>1.0</v>
      </c>
      <c r="F824" s="105"/>
      <c r="G824" s="114"/>
      <c r="H824" s="363" t="s">
        <v>139</v>
      </c>
      <c r="I824" s="355" t="s">
        <v>106</v>
      </c>
      <c r="K824" s="247"/>
      <c r="L824" s="247"/>
    </row>
    <row r="825">
      <c r="A825" s="259"/>
      <c r="B825" s="260"/>
      <c r="C825" s="260"/>
      <c r="D825" s="277" t="s">
        <v>285</v>
      </c>
      <c r="E825" s="277">
        <v>1.0</v>
      </c>
      <c r="F825" s="278"/>
      <c r="G825" s="279"/>
      <c r="H825" s="280" t="s">
        <v>116</v>
      </c>
      <c r="I825" s="281" t="s">
        <v>106</v>
      </c>
      <c r="K825" s="247"/>
      <c r="L825" s="247"/>
    </row>
    <row r="826">
      <c r="A826" s="261" t="s">
        <v>667</v>
      </c>
      <c r="B826" s="262" t="s">
        <v>561</v>
      </c>
      <c r="C826" s="263">
        <f>sum(E826:E831)</f>
        <v>7</v>
      </c>
      <c r="D826" s="649" t="s">
        <v>92</v>
      </c>
      <c r="E826" s="649">
        <v>1.0</v>
      </c>
      <c r="F826" s="650"/>
      <c r="G826" s="651"/>
      <c r="H826" s="652" t="s">
        <v>93</v>
      </c>
      <c r="I826" s="511" t="s">
        <v>66</v>
      </c>
      <c r="K826" s="247"/>
      <c r="L826" s="247"/>
    </row>
    <row r="827">
      <c r="A827" s="248"/>
      <c r="D827" s="251" t="s">
        <v>154</v>
      </c>
      <c r="E827" s="251">
        <v>2.0</v>
      </c>
      <c r="F827" s="256"/>
      <c r="G827" s="253"/>
      <c r="H827" s="254" t="s">
        <v>155</v>
      </c>
      <c r="I827" s="287" t="s">
        <v>145</v>
      </c>
      <c r="K827" s="247"/>
      <c r="L827" s="247"/>
    </row>
    <row r="828">
      <c r="A828" s="248"/>
      <c r="D828" s="251" t="s">
        <v>173</v>
      </c>
      <c r="E828" s="251">
        <v>1.0</v>
      </c>
      <c r="F828" s="252"/>
      <c r="G828" s="253"/>
      <c r="H828" s="254" t="s">
        <v>422</v>
      </c>
      <c r="I828" s="255" t="s">
        <v>164</v>
      </c>
      <c r="K828" s="247"/>
      <c r="L828" s="247"/>
    </row>
    <row r="829">
      <c r="A829" s="248"/>
      <c r="D829" s="353" t="s">
        <v>130</v>
      </c>
      <c r="E829" s="353">
        <v>1.0</v>
      </c>
      <c r="F829" s="105"/>
      <c r="G829" s="106"/>
      <c r="H829" s="354" t="s">
        <v>131</v>
      </c>
      <c r="I829" s="355" t="s">
        <v>106</v>
      </c>
      <c r="K829" s="247"/>
      <c r="L829" s="247"/>
    </row>
    <row r="830">
      <c r="A830" s="248"/>
      <c r="D830" s="251" t="s">
        <v>285</v>
      </c>
      <c r="E830" s="251">
        <v>1.0</v>
      </c>
      <c r="F830" s="257"/>
      <c r="G830" s="258"/>
      <c r="H830" s="254" t="s">
        <v>116</v>
      </c>
      <c r="I830" s="255" t="s">
        <v>106</v>
      </c>
      <c r="K830" s="247"/>
      <c r="L830" s="247"/>
    </row>
    <row r="831">
      <c r="A831" s="259"/>
      <c r="B831" s="260"/>
      <c r="C831" s="260"/>
      <c r="D831" s="394" t="s">
        <v>121</v>
      </c>
      <c r="E831" s="394">
        <v>1.0</v>
      </c>
      <c r="F831" s="395"/>
      <c r="G831" s="372"/>
      <c r="H831" s="373" t="s">
        <v>122</v>
      </c>
      <c r="I831" s="396" t="s">
        <v>106</v>
      </c>
      <c r="K831" s="247"/>
      <c r="L831" s="247"/>
    </row>
    <row r="832">
      <c r="A832" s="240" t="s">
        <v>668</v>
      </c>
      <c r="B832" s="486" t="s">
        <v>669</v>
      </c>
      <c r="C832" s="242">
        <f>sum(E832:E834)</f>
        <v>7</v>
      </c>
      <c r="D832" s="251" t="s">
        <v>331</v>
      </c>
      <c r="E832" s="251">
        <v>2.0</v>
      </c>
      <c r="F832" s="252"/>
      <c r="G832" s="253"/>
      <c r="H832" s="254" t="s">
        <v>332</v>
      </c>
      <c r="I832" s="286" t="s">
        <v>8</v>
      </c>
      <c r="K832" s="247"/>
      <c r="L832" s="247"/>
    </row>
    <row r="833">
      <c r="A833" s="248"/>
      <c r="D833" s="306" t="s">
        <v>157</v>
      </c>
      <c r="E833" s="306">
        <v>2.0</v>
      </c>
      <c r="F833" s="274"/>
      <c r="G833" s="274"/>
      <c r="H833" s="275" t="s">
        <v>158</v>
      </c>
      <c r="I833" s="287" t="s">
        <v>145</v>
      </c>
      <c r="K833" s="247"/>
      <c r="L833" s="247"/>
    </row>
    <row r="834">
      <c r="A834" s="259"/>
      <c r="B834" s="260"/>
      <c r="C834" s="260"/>
      <c r="D834" s="277" t="s">
        <v>65</v>
      </c>
      <c r="E834" s="277">
        <v>3.0</v>
      </c>
      <c r="F834" s="278"/>
      <c r="G834" s="279"/>
      <c r="H834" s="280" t="s">
        <v>284</v>
      </c>
      <c r="I834" s="281" t="s">
        <v>66</v>
      </c>
      <c r="K834" s="247"/>
      <c r="L834" s="247"/>
    </row>
    <row r="835">
      <c r="A835" s="653" t="s">
        <v>670</v>
      </c>
      <c r="B835" s="486" t="s">
        <v>671</v>
      </c>
      <c r="C835" s="242">
        <f>sum(E835:E837)</f>
        <v>7</v>
      </c>
      <c r="D835" s="251" t="s">
        <v>148</v>
      </c>
      <c r="E835" s="251">
        <v>3.0</v>
      </c>
      <c r="F835" s="306"/>
      <c r="G835" s="306"/>
      <c r="H835" s="293" t="s">
        <v>146</v>
      </c>
      <c r="I835" s="267" t="s">
        <v>145</v>
      </c>
      <c r="K835" s="247"/>
      <c r="L835" s="247"/>
    </row>
    <row r="836">
      <c r="A836" s="248"/>
      <c r="D836" s="251" t="s">
        <v>163</v>
      </c>
      <c r="E836" s="251">
        <v>2.0</v>
      </c>
      <c r="F836" s="256"/>
      <c r="G836" s="253"/>
      <c r="H836" s="254" t="s">
        <v>165</v>
      </c>
      <c r="I836" s="255" t="s">
        <v>164</v>
      </c>
      <c r="K836" s="247"/>
      <c r="L836" s="247"/>
    </row>
    <row r="837">
      <c r="A837" s="259"/>
      <c r="B837" s="260"/>
      <c r="C837" s="260"/>
      <c r="D837" s="277" t="s">
        <v>20</v>
      </c>
      <c r="E837" s="277">
        <v>2.0</v>
      </c>
      <c r="F837" s="315"/>
      <c r="G837" s="316"/>
      <c r="H837" s="280" t="s">
        <v>21</v>
      </c>
      <c r="I837" s="255" t="s">
        <v>8</v>
      </c>
      <c r="K837" s="247"/>
      <c r="L837" s="247"/>
    </row>
    <row r="838">
      <c r="A838" s="654" t="s">
        <v>672</v>
      </c>
      <c r="B838" s="655" t="s">
        <v>673</v>
      </c>
      <c r="C838" s="242">
        <f>sum(E838:E840)</f>
        <v>7</v>
      </c>
      <c r="D838" s="251" t="s">
        <v>163</v>
      </c>
      <c r="E838" s="251">
        <v>2.0</v>
      </c>
      <c r="F838" s="256"/>
      <c r="G838" s="253"/>
      <c r="H838" s="254" t="s">
        <v>165</v>
      </c>
      <c r="I838" s="255" t="s">
        <v>164</v>
      </c>
      <c r="K838" s="247"/>
      <c r="L838" s="247"/>
    </row>
    <row r="839">
      <c r="A839" s="248"/>
      <c r="D839" s="251" t="s">
        <v>167</v>
      </c>
      <c r="E839" s="251">
        <v>2.0</v>
      </c>
      <c r="F839" s="252"/>
      <c r="G839" s="253"/>
      <c r="H839" s="254" t="s">
        <v>168</v>
      </c>
      <c r="I839" s="255" t="s">
        <v>164</v>
      </c>
      <c r="K839" s="247"/>
      <c r="L839" s="247"/>
    </row>
    <row r="840">
      <c r="A840" s="259"/>
      <c r="B840" s="260"/>
      <c r="C840" s="260"/>
      <c r="D840" s="277" t="s">
        <v>65</v>
      </c>
      <c r="E840" s="277">
        <v>3.0</v>
      </c>
      <c r="F840" s="314" t="s">
        <v>370</v>
      </c>
      <c r="G840" s="279"/>
      <c r="H840" s="280" t="s">
        <v>284</v>
      </c>
      <c r="I840" s="281" t="s">
        <v>66</v>
      </c>
      <c r="K840" s="247"/>
      <c r="L840" s="247"/>
    </row>
    <row r="841">
      <c r="A841" s="326" t="s">
        <v>674</v>
      </c>
      <c r="B841" s="327" t="s">
        <v>675</v>
      </c>
      <c r="C841" s="242">
        <f>sum(E841:E844)</f>
        <v>7</v>
      </c>
      <c r="D841" s="357" t="s">
        <v>15</v>
      </c>
      <c r="E841" s="357">
        <v>2.0</v>
      </c>
      <c r="F841" s="253"/>
      <c r="G841" s="3"/>
      <c r="H841" s="254" t="s">
        <v>17</v>
      </c>
      <c r="I841" s="286" t="s">
        <v>8</v>
      </c>
      <c r="K841" s="247"/>
      <c r="L841" s="247"/>
    </row>
    <row r="842">
      <c r="A842" s="248"/>
      <c r="D842" s="251" t="s">
        <v>160</v>
      </c>
      <c r="E842" s="251">
        <v>1.0</v>
      </c>
      <c r="F842" s="306"/>
      <c r="G842" s="306"/>
      <c r="H842" s="254" t="s">
        <v>161</v>
      </c>
      <c r="I842" s="287" t="s">
        <v>145</v>
      </c>
      <c r="K842" s="247"/>
      <c r="L842" s="247"/>
    </row>
    <row r="843">
      <c r="A843" s="248"/>
      <c r="D843" s="357" t="s">
        <v>65</v>
      </c>
      <c r="E843" s="357">
        <v>3.0</v>
      </c>
      <c r="F843" s="252"/>
      <c r="G843" s="252"/>
      <c r="H843" s="294" t="s">
        <v>284</v>
      </c>
      <c r="I843" s="255" t="s">
        <v>66</v>
      </c>
      <c r="K843" s="247"/>
      <c r="L843" s="247"/>
    </row>
    <row r="844">
      <c r="A844" s="259"/>
      <c r="B844" s="260"/>
      <c r="C844" s="260"/>
      <c r="D844" s="277" t="s">
        <v>118</v>
      </c>
      <c r="E844" s="277">
        <v>1.0</v>
      </c>
      <c r="F844" s="316"/>
      <c r="G844" s="316"/>
      <c r="H844" s="280" t="s">
        <v>323</v>
      </c>
      <c r="I844" s="281" t="s">
        <v>106</v>
      </c>
      <c r="K844" s="247"/>
      <c r="L844" s="247"/>
    </row>
    <row r="845">
      <c r="A845" s="261" t="s">
        <v>676</v>
      </c>
      <c r="B845" s="262" t="s">
        <v>677</v>
      </c>
      <c r="C845" s="282">
        <f>sum(E845:E850)</f>
        <v>7</v>
      </c>
      <c r="D845" s="656" t="s">
        <v>186</v>
      </c>
      <c r="E845" s="657">
        <v>1.0</v>
      </c>
      <c r="F845" s="518"/>
      <c r="G845" s="658"/>
      <c r="H845" s="659" t="s">
        <v>188</v>
      </c>
      <c r="I845" s="554" t="s">
        <v>187</v>
      </c>
      <c r="K845" s="247"/>
      <c r="L845" s="247"/>
    </row>
    <row r="846">
      <c r="A846" s="248"/>
      <c r="D846" s="273" t="s">
        <v>89</v>
      </c>
      <c r="E846" s="273">
        <v>1.0</v>
      </c>
      <c r="F846" s="3"/>
      <c r="G846" s="274"/>
      <c r="H846" s="275" t="s">
        <v>90</v>
      </c>
      <c r="I846" s="276" t="s">
        <v>66</v>
      </c>
      <c r="K846" s="247"/>
      <c r="L846" s="247"/>
    </row>
    <row r="847">
      <c r="A847" s="248"/>
      <c r="D847" s="273" t="s">
        <v>121</v>
      </c>
      <c r="E847" s="273">
        <v>1.0</v>
      </c>
      <c r="F847" s="3"/>
      <c r="G847" s="274"/>
      <c r="H847" s="275" t="s">
        <v>122</v>
      </c>
      <c r="I847" s="276" t="s">
        <v>106</v>
      </c>
      <c r="K847" s="247"/>
      <c r="L847" s="247"/>
    </row>
    <row r="848">
      <c r="A848" s="248"/>
      <c r="D848" s="273" t="s">
        <v>118</v>
      </c>
      <c r="E848" s="273">
        <v>1.0</v>
      </c>
      <c r="F848" s="3"/>
      <c r="G848" s="274"/>
      <c r="H848" s="414" t="s">
        <v>119</v>
      </c>
      <c r="I848" s="276" t="s">
        <v>106</v>
      </c>
      <c r="K848" s="247"/>
      <c r="L848" s="247"/>
    </row>
    <row r="849">
      <c r="A849" s="248"/>
      <c r="D849" s="273" t="s">
        <v>141</v>
      </c>
      <c r="E849" s="273">
        <v>1.0</v>
      </c>
      <c r="F849" s="3"/>
      <c r="G849" s="274"/>
      <c r="H849" s="275" t="s">
        <v>142</v>
      </c>
      <c r="I849" s="276" t="s">
        <v>106</v>
      </c>
      <c r="K849" s="247"/>
      <c r="L849" s="247"/>
    </row>
    <row r="850">
      <c r="A850" s="259"/>
      <c r="B850" s="260"/>
      <c r="C850" s="260"/>
      <c r="D850" s="457" t="s">
        <v>163</v>
      </c>
      <c r="E850" s="457">
        <v>2.0</v>
      </c>
      <c r="F850" s="395"/>
      <c r="G850" s="458"/>
      <c r="H850" s="459" t="s">
        <v>165</v>
      </c>
      <c r="I850" s="396" t="s">
        <v>164</v>
      </c>
      <c r="K850" s="247"/>
      <c r="L850" s="247"/>
    </row>
    <row r="851">
      <c r="A851" s="261" t="s">
        <v>678</v>
      </c>
      <c r="B851" s="262" t="s">
        <v>679</v>
      </c>
      <c r="C851" s="282">
        <f>sum(E851:E854)</f>
        <v>7</v>
      </c>
      <c r="D851" s="660" t="s">
        <v>138</v>
      </c>
      <c r="E851" s="661">
        <v>1.0</v>
      </c>
      <c r="F851" s="504"/>
      <c r="G851" s="662"/>
      <c r="H851" s="663" t="s">
        <v>139</v>
      </c>
      <c r="I851" s="560" t="s">
        <v>106</v>
      </c>
      <c r="K851" s="247"/>
      <c r="L851" s="247"/>
    </row>
    <row r="852">
      <c r="A852" s="248"/>
      <c r="D852" s="306" t="s">
        <v>98</v>
      </c>
      <c r="E852" s="306">
        <v>2.0</v>
      </c>
      <c r="F852" s="274"/>
      <c r="G852" s="274"/>
      <c r="H852" s="275" t="s">
        <v>100</v>
      </c>
      <c r="I852" s="255" t="s">
        <v>99</v>
      </c>
      <c r="K852" s="247"/>
      <c r="L852" s="247"/>
    </row>
    <row r="853">
      <c r="A853" s="248"/>
      <c r="D853" s="362" t="s">
        <v>127</v>
      </c>
      <c r="E853" s="362">
        <v>1.0</v>
      </c>
      <c r="F853" s="105"/>
      <c r="G853" s="114"/>
      <c r="H853" s="363" t="s">
        <v>128</v>
      </c>
      <c r="I853" s="355" t="s">
        <v>106</v>
      </c>
      <c r="K853" s="247"/>
      <c r="L853" s="247"/>
    </row>
    <row r="854">
      <c r="A854" s="259"/>
      <c r="B854" s="260"/>
      <c r="C854" s="260"/>
      <c r="D854" s="314" t="s">
        <v>680</v>
      </c>
      <c r="E854" s="314">
        <v>3.0</v>
      </c>
      <c r="F854" s="315"/>
      <c r="G854" s="316"/>
      <c r="H854" s="280" t="s">
        <v>681</v>
      </c>
      <c r="I854" s="420" t="s">
        <v>106</v>
      </c>
      <c r="K854" s="247"/>
      <c r="L854" s="247"/>
    </row>
    <row r="855">
      <c r="A855" s="519" t="s">
        <v>682</v>
      </c>
      <c r="B855" s="262" t="s">
        <v>380</v>
      </c>
      <c r="C855" s="282">
        <f>sum(E855:E858)</f>
        <v>7</v>
      </c>
      <c r="D855" s="264" t="s">
        <v>121</v>
      </c>
      <c r="E855" s="264">
        <v>1.0</v>
      </c>
      <c r="F855" s="406"/>
      <c r="G855" s="406"/>
      <c r="H855" s="266" t="s">
        <v>328</v>
      </c>
      <c r="I855" s="286" t="s">
        <v>106</v>
      </c>
      <c r="K855" s="247"/>
      <c r="L855" s="247"/>
    </row>
    <row r="856">
      <c r="A856" s="248"/>
      <c r="D856" s="251" t="s">
        <v>118</v>
      </c>
      <c r="E856" s="251">
        <v>1.0</v>
      </c>
      <c r="F856" s="253"/>
      <c r="G856" s="253"/>
      <c r="H856" s="254" t="s">
        <v>323</v>
      </c>
      <c r="I856" s="255" t="s">
        <v>106</v>
      </c>
      <c r="K856" s="247"/>
      <c r="L856" s="247"/>
    </row>
    <row r="857">
      <c r="A857" s="248"/>
      <c r="D857" s="251" t="s">
        <v>163</v>
      </c>
      <c r="E857" s="251">
        <v>2.0</v>
      </c>
      <c r="F857" s="256"/>
      <c r="G857" s="253"/>
      <c r="H857" s="254" t="s">
        <v>165</v>
      </c>
      <c r="I857" s="255" t="s">
        <v>164</v>
      </c>
      <c r="K857" s="247"/>
      <c r="L857" s="247"/>
    </row>
    <row r="858">
      <c r="A858" s="259"/>
      <c r="B858" s="260"/>
      <c r="C858" s="260"/>
      <c r="D858" s="277" t="s">
        <v>65</v>
      </c>
      <c r="E858" s="277">
        <v>3.0</v>
      </c>
      <c r="F858" s="278"/>
      <c r="G858" s="279"/>
      <c r="H858" s="280" t="s">
        <v>284</v>
      </c>
      <c r="I858" s="281" t="s">
        <v>66</v>
      </c>
      <c r="K858" s="247"/>
      <c r="L858" s="247"/>
    </row>
    <row r="859">
      <c r="A859" s="261" t="s">
        <v>683</v>
      </c>
      <c r="B859" s="262" t="s">
        <v>684</v>
      </c>
      <c r="C859" s="282">
        <f>sum(E859:E861)</f>
        <v>7</v>
      </c>
      <c r="D859" s="664" t="s">
        <v>53</v>
      </c>
      <c r="E859" s="664">
        <v>2.0</v>
      </c>
      <c r="F859" s="665"/>
      <c r="G859" s="666"/>
      <c r="H859" s="666" t="s">
        <v>54</v>
      </c>
      <c r="I859" s="667" t="s">
        <v>44</v>
      </c>
      <c r="J859" s="310"/>
      <c r="K859" s="247"/>
      <c r="L859" s="247"/>
    </row>
    <row r="860">
      <c r="A860" s="248"/>
      <c r="D860" s="249" t="s">
        <v>183</v>
      </c>
      <c r="E860" s="244">
        <v>2.0</v>
      </c>
      <c r="F860" s="172"/>
      <c r="G860" s="173"/>
      <c r="H860" s="173" t="s">
        <v>184</v>
      </c>
      <c r="I860" s="312" t="s">
        <v>177</v>
      </c>
      <c r="J860" s="310"/>
      <c r="K860" s="247"/>
      <c r="L860" s="247"/>
    </row>
    <row r="861">
      <c r="A861" s="259"/>
      <c r="B861" s="260"/>
      <c r="C861" s="260"/>
      <c r="D861" s="277" t="s">
        <v>65</v>
      </c>
      <c r="E861" s="277">
        <v>3.0</v>
      </c>
      <c r="F861" s="278"/>
      <c r="G861" s="279"/>
      <c r="H861" s="280" t="s">
        <v>284</v>
      </c>
      <c r="I861" s="281" t="s">
        <v>66</v>
      </c>
      <c r="K861" s="247"/>
      <c r="L861" s="247"/>
    </row>
    <row r="862">
      <c r="A862" s="366" t="s">
        <v>685</v>
      </c>
      <c r="B862" s="262" t="s">
        <v>686</v>
      </c>
      <c r="C862" s="282">
        <f>sum(E862:E865)</f>
        <v>7</v>
      </c>
      <c r="D862" s="264" t="s">
        <v>12</v>
      </c>
      <c r="E862" s="264">
        <v>2.0</v>
      </c>
      <c r="F862" s="406"/>
      <c r="G862" s="406"/>
      <c r="H862" s="266" t="s">
        <v>349</v>
      </c>
      <c r="I862" s="286" t="s">
        <v>8</v>
      </c>
      <c r="K862" s="247"/>
      <c r="L862" s="247"/>
    </row>
    <row r="863">
      <c r="A863" s="248"/>
      <c r="D863" s="251" t="s">
        <v>23</v>
      </c>
      <c r="E863" s="251">
        <v>2.0</v>
      </c>
      <c r="F863" s="351"/>
      <c r="G863" s="352"/>
      <c r="H863" s="293" t="s">
        <v>308</v>
      </c>
      <c r="I863" s="255" t="s">
        <v>24</v>
      </c>
      <c r="K863" s="247"/>
      <c r="L863" s="247"/>
    </row>
    <row r="864">
      <c r="A864" s="248"/>
      <c r="D864" s="251" t="s">
        <v>121</v>
      </c>
      <c r="E864" s="251">
        <v>1.0</v>
      </c>
      <c r="F864" s="364"/>
      <c r="G864" s="364"/>
      <c r="H864" s="293" t="s">
        <v>328</v>
      </c>
      <c r="I864" s="255" t="s">
        <v>106</v>
      </c>
      <c r="K864" s="247"/>
      <c r="L864" s="247"/>
    </row>
    <row r="865">
      <c r="A865" s="259"/>
      <c r="B865" s="260"/>
      <c r="C865" s="260"/>
      <c r="D865" s="299" t="s">
        <v>157</v>
      </c>
      <c r="E865" s="299">
        <v>2.0</v>
      </c>
      <c r="F865" s="668"/>
      <c r="G865" s="668"/>
      <c r="H865" s="669" t="s">
        <v>158</v>
      </c>
      <c r="I865" s="301" t="s">
        <v>145</v>
      </c>
      <c r="K865" s="247"/>
      <c r="L865" s="247"/>
    </row>
    <row r="866">
      <c r="A866" s="261" t="s">
        <v>687</v>
      </c>
      <c r="B866" s="262" t="s">
        <v>688</v>
      </c>
      <c r="C866" s="263">
        <f>sum(E866:E871)</f>
        <v>7</v>
      </c>
      <c r="D866" s="264" t="s">
        <v>141</v>
      </c>
      <c r="E866" s="264">
        <v>1.0</v>
      </c>
      <c r="F866" s="406"/>
      <c r="G866" s="406"/>
      <c r="H866" s="266" t="s">
        <v>142</v>
      </c>
      <c r="I866" s="286" t="s">
        <v>106</v>
      </c>
      <c r="K866" s="247"/>
      <c r="L866" s="247"/>
    </row>
    <row r="867">
      <c r="A867" s="248"/>
      <c r="D867" s="251" t="s">
        <v>127</v>
      </c>
      <c r="E867" s="251">
        <v>1.0</v>
      </c>
      <c r="F867" s="400"/>
      <c r="G867" s="401"/>
      <c r="H867" s="254" t="s">
        <v>128</v>
      </c>
      <c r="I867" s="255" t="s">
        <v>106</v>
      </c>
      <c r="K867" s="247"/>
      <c r="L867" s="247"/>
    </row>
    <row r="868">
      <c r="A868" s="248"/>
      <c r="D868" s="251" t="s">
        <v>132</v>
      </c>
      <c r="E868" s="251">
        <v>1.0</v>
      </c>
      <c r="F868" s="364"/>
      <c r="G868" s="364"/>
      <c r="H868" s="293" t="s">
        <v>133</v>
      </c>
      <c r="I868" s="255" t="s">
        <v>106</v>
      </c>
      <c r="K868" s="247"/>
      <c r="L868" s="247"/>
    </row>
    <row r="869">
      <c r="A869" s="248"/>
      <c r="D869" s="251" t="s">
        <v>135</v>
      </c>
      <c r="E869" s="251">
        <v>1.0</v>
      </c>
      <c r="F869" s="252"/>
      <c r="G869" s="253"/>
      <c r="H869" s="254" t="s">
        <v>136</v>
      </c>
      <c r="I869" s="255" t="s">
        <v>106</v>
      </c>
      <c r="K869" s="247"/>
      <c r="L869" s="247"/>
    </row>
    <row r="870">
      <c r="A870" s="248"/>
      <c r="D870" s="335" t="s">
        <v>37</v>
      </c>
      <c r="E870" s="335">
        <v>1.0</v>
      </c>
      <c r="F870" s="39"/>
      <c r="G870" s="41"/>
      <c r="H870" s="670" t="s">
        <v>38</v>
      </c>
      <c r="I870" s="336" t="s">
        <v>31</v>
      </c>
      <c r="K870" s="247"/>
      <c r="L870" s="247"/>
    </row>
    <row r="871">
      <c r="A871" s="259"/>
      <c r="B871" s="260"/>
      <c r="C871" s="260"/>
      <c r="D871" s="277" t="s">
        <v>163</v>
      </c>
      <c r="E871" s="277">
        <v>2.0</v>
      </c>
      <c r="F871" s="365"/>
      <c r="G871" s="316"/>
      <c r="H871" s="280" t="s">
        <v>165</v>
      </c>
      <c r="I871" s="281" t="s">
        <v>164</v>
      </c>
      <c r="K871" s="247"/>
      <c r="L871" s="247"/>
    </row>
    <row r="872">
      <c r="A872" s="671" t="s">
        <v>689</v>
      </c>
      <c r="B872" s="672" t="s">
        <v>690</v>
      </c>
      <c r="C872" s="673">
        <f>sum(E872:E873)</f>
        <v>7</v>
      </c>
      <c r="D872" s="264" t="s">
        <v>144</v>
      </c>
      <c r="E872" s="264">
        <v>5.0</v>
      </c>
      <c r="F872" s="265"/>
      <c r="G872" s="265"/>
      <c r="H872" s="266" t="s">
        <v>146</v>
      </c>
      <c r="I872" s="267" t="s">
        <v>145</v>
      </c>
      <c r="K872" s="247"/>
      <c r="L872" s="247"/>
    </row>
    <row r="873">
      <c r="A873" s="259"/>
      <c r="B873" s="260"/>
      <c r="C873" s="260"/>
      <c r="D873" s="277" t="s">
        <v>448</v>
      </c>
      <c r="E873" s="277">
        <v>2.0</v>
      </c>
      <c r="F873" s="278"/>
      <c r="G873" s="279"/>
      <c r="H873" s="280" t="s">
        <v>284</v>
      </c>
      <c r="I873" s="281" t="s">
        <v>66</v>
      </c>
      <c r="K873" s="247"/>
      <c r="L873" s="247"/>
    </row>
    <row r="874">
      <c r="A874" s="326" t="s">
        <v>691</v>
      </c>
      <c r="B874" s="241" t="s">
        <v>398</v>
      </c>
      <c r="C874" s="460">
        <f>sum(E874:E877)</f>
        <v>7</v>
      </c>
      <c r="D874" s="251" t="s">
        <v>50</v>
      </c>
      <c r="E874" s="251">
        <v>2.0</v>
      </c>
      <c r="F874" s="252"/>
      <c r="G874" s="253"/>
      <c r="H874" s="254" t="s">
        <v>51</v>
      </c>
      <c r="I874" s="255" t="s">
        <v>44</v>
      </c>
      <c r="K874" s="247"/>
      <c r="L874" s="247"/>
    </row>
    <row r="875">
      <c r="A875" s="248"/>
      <c r="D875" s="251" t="s">
        <v>163</v>
      </c>
      <c r="E875" s="251">
        <v>2.0</v>
      </c>
      <c r="F875" s="256"/>
      <c r="G875" s="253"/>
      <c r="H875" s="254" t="s">
        <v>165</v>
      </c>
      <c r="I875" s="255" t="s">
        <v>164</v>
      </c>
      <c r="K875" s="247"/>
      <c r="L875" s="247"/>
    </row>
    <row r="876">
      <c r="A876" s="248"/>
      <c r="D876" s="251" t="s">
        <v>291</v>
      </c>
      <c r="E876" s="251">
        <v>2.0</v>
      </c>
      <c r="F876" s="257"/>
      <c r="G876" s="258"/>
      <c r="H876" s="254" t="s">
        <v>284</v>
      </c>
      <c r="I876" s="255" t="s">
        <v>66</v>
      </c>
      <c r="K876" s="247"/>
      <c r="L876" s="247"/>
    </row>
    <row r="877">
      <c r="A877" s="259"/>
      <c r="B877" s="260"/>
      <c r="C877" s="260"/>
      <c r="D877" s="277" t="s">
        <v>118</v>
      </c>
      <c r="E877" s="277">
        <v>1.0</v>
      </c>
      <c r="F877" s="316"/>
      <c r="G877" s="316"/>
      <c r="H877" s="280" t="s">
        <v>323</v>
      </c>
      <c r="I877" s="281" t="s">
        <v>106</v>
      </c>
      <c r="K877" s="247"/>
      <c r="L877" s="247"/>
    </row>
    <row r="878">
      <c r="A878" s="413" t="s">
        <v>692</v>
      </c>
      <c r="B878" s="262" t="s">
        <v>528</v>
      </c>
      <c r="C878" s="263">
        <f>sum(E878:E881)</f>
        <v>7</v>
      </c>
      <c r="D878" s="264" t="s">
        <v>331</v>
      </c>
      <c r="E878" s="264">
        <v>2.0</v>
      </c>
      <c r="F878" s="330"/>
      <c r="G878" s="305"/>
      <c r="H878" s="285" t="s">
        <v>332</v>
      </c>
      <c r="I878" s="286" t="s">
        <v>8</v>
      </c>
      <c r="K878" s="247"/>
      <c r="L878" s="247"/>
    </row>
    <row r="879">
      <c r="A879" s="248"/>
      <c r="D879" s="295" t="s">
        <v>74</v>
      </c>
      <c r="E879" s="295">
        <v>2.0</v>
      </c>
      <c r="F879" s="70"/>
      <c r="G879" s="72"/>
      <c r="H879" s="72" t="s">
        <v>75</v>
      </c>
      <c r="I879" s="297" t="s">
        <v>66</v>
      </c>
      <c r="K879" s="247"/>
      <c r="L879" s="247"/>
    </row>
    <row r="880">
      <c r="A880" s="248"/>
      <c r="D880" s="251" t="s">
        <v>163</v>
      </c>
      <c r="E880" s="251">
        <v>2.0</v>
      </c>
      <c r="F880" s="256"/>
      <c r="G880" s="253"/>
      <c r="H880" s="254" t="s">
        <v>165</v>
      </c>
      <c r="I880" s="255" t="s">
        <v>164</v>
      </c>
      <c r="K880" s="247"/>
      <c r="L880" s="247"/>
    </row>
    <row r="881">
      <c r="A881" s="259"/>
      <c r="B881" s="260"/>
      <c r="C881" s="260"/>
      <c r="D881" s="514" t="s">
        <v>132</v>
      </c>
      <c r="E881" s="514">
        <v>1.0</v>
      </c>
      <c r="F881" s="516"/>
      <c r="G881" s="516"/>
      <c r="H881" s="516" t="s">
        <v>133</v>
      </c>
      <c r="I881" s="517" t="s">
        <v>106</v>
      </c>
      <c r="K881" s="247"/>
      <c r="L881" s="247"/>
    </row>
    <row r="882">
      <c r="A882" s="261" t="s">
        <v>693</v>
      </c>
      <c r="B882" s="262" t="s">
        <v>694</v>
      </c>
      <c r="C882" s="263">
        <f>sum(E882:E886)</f>
        <v>7</v>
      </c>
      <c r="D882" s="264" t="s">
        <v>12</v>
      </c>
      <c r="E882" s="264">
        <v>2.0</v>
      </c>
      <c r="F882" s="406"/>
      <c r="G882" s="406"/>
      <c r="H882" s="266" t="s">
        <v>349</v>
      </c>
      <c r="I882" s="286" t="s">
        <v>8</v>
      </c>
      <c r="K882" s="247"/>
      <c r="L882" s="247"/>
    </row>
    <row r="883">
      <c r="A883" s="248"/>
      <c r="D883" s="251" t="s">
        <v>56</v>
      </c>
      <c r="E883" s="251">
        <v>1.0</v>
      </c>
      <c r="F883" s="252"/>
      <c r="G883" s="253"/>
      <c r="H883" s="254" t="s">
        <v>57</v>
      </c>
      <c r="I883" s="255" t="s">
        <v>44</v>
      </c>
      <c r="K883" s="247"/>
      <c r="L883" s="247"/>
    </row>
    <row r="884">
      <c r="A884" s="248"/>
      <c r="D884" s="251" t="s">
        <v>160</v>
      </c>
      <c r="E884" s="251">
        <v>1.0</v>
      </c>
      <c r="F884" s="306"/>
      <c r="G884" s="306"/>
      <c r="H884" s="254" t="s">
        <v>161</v>
      </c>
      <c r="I884" s="287" t="s">
        <v>145</v>
      </c>
      <c r="K884" s="247"/>
      <c r="L884" s="247"/>
    </row>
    <row r="885">
      <c r="A885" s="248"/>
      <c r="D885" s="251" t="s">
        <v>163</v>
      </c>
      <c r="E885" s="251">
        <v>2.0</v>
      </c>
      <c r="F885" s="256"/>
      <c r="G885" s="253"/>
      <c r="H885" s="254" t="s">
        <v>165</v>
      </c>
      <c r="I885" s="255" t="s">
        <v>164</v>
      </c>
      <c r="K885" s="247"/>
      <c r="L885" s="247"/>
    </row>
    <row r="886">
      <c r="A886" s="259"/>
      <c r="B886" s="260"/>
      <c r="C886" s="260"/>
      <c r="D886" s="277" t="s">
        <v>132</v>
      </c>
      <c r="E886" s="277">
        <v>1.0</v>
      </c>
      <c r="F886" s="315"/>
      <c r="G886" s="316"/>
      <c r="H886" s="280" t="s">
        <v>133</v>
      </c>
      <c r="I886" s="281" t="s">
        <v>106</v>
      </c>
      <c r="K886" s="247"/>
      <c r="L886" s="247"/>
    </row>
    <row r="887">
      <c r="A887" s="261" t="s">
        <v>695</v>
      </c>
      <c r="B887" s="262" t="s">
        <v>696</v>
      </c>
      <c r="C887" s="263">
        <f>sum(E887:E890)</f>
        <v>7</v>
      </c>
      <c r="D887" s="265" t="s">
        <v>98</v>
      </c>
      <c r="E887" s="265">
        <v>2.0</v>
      </c>
      <c r="F887" s="332"/>
      <c r="G887" s="332"/>
      <c r="H887" s="333" t="s">
        <v>100</v>
      </c>
      <c r="I887" s="286" t="s">
        <v>99</v>
      </c>
      <c r="K887" s="247"/>
      <c r="L887" s="247"/>
    </row>
    <row r="888">
      <c r="A888" s="248"/>
      <c r="D888" s="251" t="s">
        <v>50</v>
      </c>
      <c r="E888" s="251">
        <v>2.0</v>
      </c>
      <c r="F888" s="252"/>
      <c r="G888" s="253"/>
      <c r="H888" s="254" t="s">
        <v>51</v>
      </c>
      <c r="I888" s="255" t="s">
        <v>44</v>
      </c>
      <c r="K888" s="247"/>
      <c r="L888" s="247"/>
    </row>
    <row r="889">
      <c r="A889" s="248"/>
      <c r="D889" s="251" t="s">
        <v>331</v>
      </c>
      <c r="E889" s="251">
        <v>2.0</v>
      </c>
      <c r="F889" s="252"/>
      <c r="G889" s="253"/>
      <c r="H889" s="254" t="s">
        <v>332</v>
      </c>
      <c r="I889" s="255" t="s">
        <v>8</v>
      </c>
      <c r="K889" s="247"/>
      <c r="L889" s="247"/>
    </row>
    <row r="890">
      <c r="A890" s="259"/>
      <c r="B890" s="260"/>
      <c r="C890" s="260"/>
      <c r="D890" s="277" t="s">
        <v>135</v>
      </c>
      <c r="E890" s="277">
        <v>1.0</v>
      </c>
      <c r="F890" s="315"/>
      <c r="G890" s="316"/>
      <c r="H890" s="280" t="s">
        <v>136</v>
      </c>
      <c r="I890" s="281" t="s">
        <v>106</v>
      </c>
      <c r="K890" s="247"/>
      <c r="L890" s="247"/>
    </row>
    <row r="891">
      <c r="A891" s="261" t="s">
        <v>697</v>
      </c>
      <c r="B891" s="262" t="s">
        <v>698</v>
      </c>
      <c r="C891" s="263">
        <f>sum(E891:E893)</f>
        <v>7</v>
      </c>
      <c r="D891" s="440" t="s">
        <v>102</v>
      </c>
      <c r="E891" s="441">
        <v>2.0</v>
      </c>
      <c r="F891" s="442"/>
      <c r="G891" s="443"/>
      <c r="H891" s="443" t="s">
        <v>103</v>
      </c>
      <c r="I891" s="444" t="s">
        <v>99</v>
      </c>
      <c r="K891" s="247"/>
      <c r="L891" s="247"/>
    </row>
    <row r="892">
      <c r="A892" s="248"/>
      <c r="D892" s="251" t="s">
        <v>65</v>
      </c>
      <c r="E892" s="251">
        <v>3.0</v>
      </c>
      <c r="F892" s="257"/>
      <c r="G892" s="258"/>
      <c r="H892" s="254" t="s">
        <v>284</v>
      </c>
      <c r="I892" s="255" t="s">
        <v>66</v>
      </c>
      <c r="K892" s="247"/>
      <c r="L892" s="247"/>
    </row>
    <row r="893">
      <c r="A893" s="259"/>
      <c r="B893" s="260"/>
      <c r="C893" s="260"/>
      <c r="D893" s="277" t="s">
        <v>331</v>
      </c>
      <c r="E893" s="277">
        <v>2.0</v>
      </c>
      <c r="F893" s="315"/>
      <c r="G893" s="316"/>
      <c r="H893" s="280" t="s">
        <v>332</v>
      </c>
      <c r="I893" s="281" t="s">
        <v>8</v>
      </c>
      <c r="K893" s="247"/>
      <c r="L893" s="247"/>
    </row>
    <row r="894">
      <c r="A894" s="328" t="s">
        <v>699</v>
      </c>
      <c r="B894" s="674" t="s">
        <v>700</v>
      </c>
      <c r="C894" s="263">
        <f>sum(E894:E897)</f>
        <v>7</v>
      </c>
      <c r="D894" s="264" t="s">
        <v>23</v>
      </c>
      <c r="E894" s="264">
        <v>2.0</v>
      </c>
      <c r="F894" s="374"/>
      <c r="G894" s="305"/>
      <c r="H894" s="285" t="s">
        <v>308</v>
      </c>
      <c r="I894" s="286" t="s">
        <v>24</v>
      </c>
      <c r="K894" s="247"/>
      <c r="L894" s="247"/>
    </row>
    <row r="895">
      <c r="A895" s="248"/>
      <c r="D895" s="251" t="s">
        <v>56</v>
      </c>
      <c r="E895" s="251">
        <v>1.0</v>
      </c>
      <c r="F895" s="252"/>
      <c r="G895" s="253"/>
      <c r="H895" s="254" t="s">
        <v>57</v>
      </c>
      <c r="I895" s="255" t="s">
        <v>44</v>
      </c>
      <c r="K895" s="247"/>
      <c r="L895" s="247"/>
    </row>
    <row r="896">
      <c r="A896" s="248"/>
      <c r="D896" s="542" t="s">
        <v>109</v>
      </c>
      <c r="E896" s="543">
        <v>2.0</v>
      </c>
      <c r="F896" s="544"/>
      <c r="G896" s="545"/>
      <c r="H896" s="545" t="s">
        <v>110</v>
      </c>
      <c r="I896" s="675" t="s">
        <v>106</v>
      </c>
      <c r="K896" s="247"/>
      <c r="L896" s="247"/>
    </row>
    <row r="897">
      <c r="A897" s="259"/>
      <c r="B897" s="260"/>
      <c r="C897" s="260"/>
      <c r="D897" s="277" t="s">
        <v>163</v>
      </c>
      <c r="E897" s="277">
        <v>2.0</v>
      </c>
      <c r="F897" s="365"/>
      <c r="G897" s="316"/>
      <c r="H897" s="280" t="s">
        <v>165</v>
      </c>
      <c r="I897" s="281" t="s">
        <v>164</v>
      </c>
      <c r="K897" s="247"/>
      <c r="L897" s="247"/>
    </row>
    <row r="898">
      <c r="A898" s="328" t="s">
        <v>701</v>
      </c>
      <c r="B898" s="476" t="s">
        <v>702</v>
      </c>
      <c r="C898" s="263">
        <f>sum(E898:E902)</f>
        <v>7</v>
      </c>
      <c r="D898" s="264" t="s">
        <v>59</v>
      </c>
      <c r="E898" s="264">
        <v>1.0</v>
      </c>
      <c r="F898" s="264"/>
      <c r="G898" s="264"/>
      <c r="H898" s="266" t="s">
        <v>60</v>
      </c>
      <c r="I898" s="286" t="s">
        <v>44</v>
      </c>
      <c r="K898" s="247"/>
      <c r="L898" s="247"/>
    </row>
    <row r="899">
      <c r="A899" s="248"/>
      <c r="D899" s="251" t="s">
        <v>291</v>
      </c>
      <c r="E899" s="251">
        <v>2.0</v>
      </c>
      <c r="F899" s="257"/>
      <c r="G899" s="258"/>
      <c r="H899" s="254" t="s">
        <v>284</v>
      </c>
      <c r="I899" s="255" t="s">
        <v>66</v>
      </c>
      <c r="K899" s="247"/>
      <c r="L899" s="247"/>
    </row>
    <row r="900">
      <c r="A900" s="248"/>
      <c r="D900" s="251" t="s">
        <v>163</v>
      </c>
      <c r="E900" s="251">
        <v>2.0</v>
      </c>
      <c r="F900" s="256"/>
      <c r="G900" s="253"/>
      <c r="H900" s="254" t="s">
        <v>165</v>
      </c>
      <c r="I900" s="255" t="s">
        <v>164</v>
      </c>
      <c r="K900" s="247"/>
      <c r="L900" s="247"/>
    </row>
    <row r="901">
      <c r="A901" s="248"/>
      <c r="D901" s="361" t="s">
        <v>138</v>
      </c>
      <c r="E901" s="362">
        <v>1.0</v>
      </c>
      <c r="F901" s="105"/>
      <c r="G901" s="114"/>
      <c r="H901" s="363" t="s">
        <v>139</v>
      </c>
      <c r="I901" s="355" t="s">
        <v>106</v>
      </c>
      <c r="K901" s="247"/>
      <c r="L901" s="247"/>
    </row>
    <row r="902">
      <c r="A902" s="259"/>
      <c r="B902" s="260"/>
      <c r="C902" s="260"/>
      <c r="D902" s="277" t="s">
        <v>186</v>
      </c>
      <c r="E902" s="457">
        <v>1.0</v>
      </c>
      <c r="F902" s="395"/>
      <c r="G902" s="458"/>
      <c r="H902" s="459" t="s">
        <v>188</v>
      </c>
      <c r="I902" s="396" t="s">
        <v>187</v>
      </c>
      <c r="K902" s="247"/>
      <c r="L902" s="247"/>
    </row>
    <row r="903">
      <c r="A903" s="261" t="s">
        <v>703</v>
      </c>
      <c r="B903" s="262" t="s">
        <v>460</v>
      </c>
      <c r="C903" s="263">
        <f>sum(E903:E905)</f>
        <v>7</v>
      </c>
      <c r="D903" s="264" t="s">
        <v>331</v>
      </c>
      <c r="E903" s="264">
        <v>2.0</v>
      </c>
      <c r="F903" s="330"/>
      <c r="G903" s="305"/>
      <c r="H903" s="285" t="s">
        <v>332</v>
      </c>
      <c r="I903" s="286" t="s">
        <v>8</v>
      </c>
      <c r="K903" s="247"/>
      <c r="L903" s="247"/>
    </row>
    <row r="904">
      <c r="A904" s="248"/>
      <c r="D904" s="251" t="s">
        <v>65</v>
      </c>
      <c r="E904" s="251">
        <v>3.0</v>
      </c>
      <c r="F904" s="257"/>
      <c r="G904" s="258"/>
      <c r="H904" s="254" t="s">
        <v>284</v>
      </c>
      <c r="I904" s="255" t="s">
        <v>66</v>
      </c>
      <c r="K904" s="247"/>
      <c r="L904" s="247"/>
    </row>
    <row r="905">
      <c r="A905" s="259"/>
      <c r="B905" s="260"/>
      <c r="C905" s="260"/>
      <c r="D905" s="467" t="s">
        <v>183</v>
      </c>
      <c r="E905" s="468">
        <v>2.0</v>
      </c>
      <c r="F905" s="469"/>
      <c r="G905" s="470"/>
      <c r="H905" s="470" t="s">
        <v>184</v>
      </c>
      <c r="I905" s="471" t="s">
        <v>177</v>
      </c>
      <c r="K905" s="247"/>
      <c r="L905" s="247"/>
    </row>
    <row r="906">
      <c r="A906" s="328" t="s">
        <v>704</v>
      </c>
      <c r="B906" s="303" t="s">
        <v>705</v>
      </c>
      <c r="C906" s="263">
        <f>sum(E906:E908)</f>
        <v>7</v>
      </c>
      <c r="D906" s="264" t="s">
        <v>65</v>
      </c>
      <c r="E906" s="264">
        <v>3.0</v>
      </c>
      <c r="F906" s="283"/>
      <c r="G906" s="284"/>
      <c r="H906" s="285" t="s">
        <v>284</v>
      </c>
      <c r="I906" s="286" t="s">
        <v>66</v>
      </c>
      <c r="K906" s="247"/>
      <c r="L906" s="247"/>
    </row>
    <row r="907">
      <c r="A907" s="248"/>
      <c r="D907" s="251" t="s">
        <v>331</v>
      </c>
      <c r="E907" s="251">
        <v>2.0</v>
      </c>
      <c r="F907" s="252"/>
      <c r="G907" s="253"/>
      <c r="H907" s="254" t="s">
        <v>332</v>
      </c>
      <c r="I907" s="255" t="s">
        <v>8</v>
      </c>
      <c r="K907" s="247"/>
      <c r="L907" s="247"/>
    </row>
    <row r="908">
      <c r="A908" s="259"/>
      <c r="B908" s="260"/>
      <c r="C908" s="260"/>
      <c r="D908" s="467" t="s">
        <v>183</v>
      </c>
      <c r="E908" s="468">
        <v>2.0</v>
      </c>
      <c r="F908" s="469"/>
      <c r="G908" s="470"/>
      <c r="H908" s="470" t="s">
        <v>184</v>
      </c>
      <c r="I908" s="471" t="s">
        <v>177</v>
      </c>
      <c r="K908" s="247"/>
      <c r="L908" s="247"/>
    </row>
    <row r="909">
      <c r="A909" s="261" t="s">
        <v>706</v>
      </c>
      <c r="B909" s="476" t="s">
        <v>707</v>
      </c>
      <c r="C909" s="263">
        <f>sum(E909:E911)</f>
        <v>7</v>
      </c>
      <c r="D909" s="676" t="s">
        <v>708</v>
      </c>
      <c r="E909" s="264">
        <v>3.0</v>
      </c>
      <c r="F909" s="330"/>
      <c r="G909" s="305"/>
      <c r="H909" s="677" t="s">
        <v>709</v>
      </c>
      <c r="I909" s="320" t="s">
        <v>66</v>
      </c>
    </row>
    <row r="910">
      <c r="A910" s="248"/>
      <c r="D910" s="306" t="s">
        <v>157</v>
      </c>
      <c r="E910" s="306">
        <v>2.0</v>
      </c>
      <c r="F910" s="274"/>
      <c r="G910" s="274"/>
      <c r="H910" s="275" t="s">
        <v>158</v>
      </c>
      <c r="I910" s="287" t="s">
        <v>145</v>
      </c>
    </row>
    <row r="911">
      <c r="A911" s="259"/>
      <c r="B911" s="260"/>
      <c r="C911" s="260"/>
      <c r="D911" s="277" t="s">
        <v>163</v>
      </c>
      <c r="E911" s="277">
        <v>2.0</v>
      </c>
      <c r="F911" s="365"/>
      <c r="G911" s="316"/>
      <c r="H911" s="280" t="s">
        <v>165</v>
      </c>
      <c r="I911" s="281" t="s">
        <v>164</v>
      </c>
    </row>
    <row r="912">
      <c r="A912" s="678" t="s">
        <v>710</v>
      </c>
      <c r="B912" s="260"/>
      <c r="C912" s="260"/>
      <c r="D912" s="260"/>
      <c r="E912" s="260"/>
      <c r="F912" s="260"/>
      <c r="G912" s="260"/>
      <c r="H912" s="679"/>
      <c r="I912" s="680"/>
      <c r="K912" s="247"/>
      <c r="L912" s="247"/>
    </row>
    <row r="913">
      <c r="A913" s="328" t="s">
        <v>711</v>
      </c>
      <c r="B913" s="329" t="s">
        <v>712</v>
      </c>
      <c r="C913" s="242">
        <f>sum(E913:E914)</f>
        <v>6</v>
      </c>
      <c r="D913" s="251" t="s">
        <v>144</v>
      </c>
      <c r="E913" s="251">
        <v>5.0</v>
      </c>
      <c r="F913" s="306"/>
      <c r="G913" s="306"/>
      <c r="H913" s="293" t="s">
        <v>146</v>
      </c>
      <c r="I913" s="267" t="s">
        <v>145</v>
      </c>
      <c r="K913" s="247"/>
      <c r="L913" s="247"/>
    </row>
    <row r="914">
      <c r="A914" s="259"/>
      <c r="B914" s="260"/>
      <c r="C914" s="260"/>
      <c r="D914" s="277" t="s">
        <v>285</v>
      </c>
      <c r="E914" s="277">
        <v>1.0</v>
      </c>
      <c r="F914" s="278"/>
      <c r="G914" s="279"/>
      <c r="H914" s="280" t="s">
        <v>116</v>
      </c>
      <c r="I914" s="255" t="s">
        <v>106</v>
      </c>
      <c r="K914" s="247"/>
      <c r="L914" s="247"/>
    </row>
    <row r="915">
      <c r="A915" s="681" t="s">
        <v>713</v>
      </c>
      <c r="B915" s="241" t="s">
        <v>398</v>
      </c>
      <c r="C915" s="242">
        <f>sum(E915:E917)</f>
        <v>6</v>
      </c>
      <c r="D915" s="251" t="s">
        <v>18</v>
      </c>
      <c r="E915" s="251">
        <v>2.0</v>
      </c>
      <c r="F915" s="252"/>
      <c r="G915" s="253"/>
      <c r="H915" s="407" t="s">
        <v>322</v>
      </c>
      <c r="I915" s="286" t="s">
        <v>8</v>
      </c>
      <c r="K915" s="247"/>
      <c r="L915" s="247"/>
    </row>
    <row r="916">
      <c r="A916" s="248"/>
      <c r="D916" s="251" t="s">
        <v>148</v>
      </c>
      <c r="E916" s="251">
        <v>3.0</v>
      </c>
      <c r="F916" s="306"/>
      <c r="G916" s="306"/>
      <c r="H916" s="293" t="s">
        <v>146</v>
      </c>
      <c r="I916" s="287" t="s">
        <v>145</v>
      </c>
      <c r="K916" s="247"/>
      <c r="L916" s="247"/>
    </row>
    <row r="917">
      <c r="A917" s="259"/>
      <c r="B917" s="260"/>
      <c r="C917" s="260"/>
      <c r="D917" s="277" t="s">
        <v>285</v>
      </c>
      <c r="E917" s="277">
        <v>1.0</v>
      </c>
      <c r="F917" s="278"/>
      <c r="G917" s="279"/>
      <c r="H917" s="280" t="s">
        <v>116</v>
      </c>
      <c r="I917" s="281" t="s">
        <v>106</v>
      </c>
      <c r="K917" s="247"/>
      <c r="L917" s="247"/>
    </row>
    <row r="918">
      <c r="A918" s="302" t="s">
        <v>714</v>
      </c>
      <c r="B918" s="329" t="s">
        <v>619</v>
      </c>
      <c r="C918" s="682">
        <f>sum(E918:E922)</f>
        <v>6</v>
      </c>
      <c r="D918" s="264" t="s">
        <v>285</v>
      </c>
      <c r="E918" s="264">
        <v>1.0</v>
      </c>
      <c r="F918" s="683"/>
      <c r="G918" s="684"/>
      <c r="H918" s="685" t="s">
        <v>116</v>
      </c>
      <c r="I918" s="286" t="s">
        <v>106</v>
      </c>
      <c r="K918" s="247"/>
      <c r="L918" s="247"/>
    </row>
    <row r="919">
      <c r="A919" s="248"/>
      <c r="D919" s="251" t="s">
        <v>118</v>
      </c>
      <c r="E919" s="251">
        <v>1.0</v>
      </c>
      <c r="F919" s="686"/>
      <c r="G919" s="686"/>
      <c r="H919" s="633" t="s">
        <v>323</v>
      </c>
      <c r="I919" s="255" t="s">
        <v>106</v>
      </c>
      <c r="K919" s="247"/>
      <c r="L919" s="247"/>
    </row>
    <row r="920">
      <c r="A920" s="248"/>
      <c r="D920" s="361" t="s">
        <v>124</v>
      </c>
      <c r="E920" s="362">
        <v>1.0</v>
      </c>
      <c r="F920" s="687"/>
      <c r="G920" s="114"/>
      <c r="H920" s="114" t="s">
        <v>125</v>
      </c>
      <c r="I920" s="355" t="s">
        <v>106</v>
      </c>
      <c r="K920" s="247"/>
      <c r="L920" s="247"/>
    </row>
    <row r="921">
      <c r="A921" s="248"/>
      <c r="D921" s="295" t="s">
        <v>83</v>
      </c>
      <c r="E921" s="295">
        <v>1.0</v>
      </c>
      <c r="F921" s="485"/>
      <c r="G921" s="72" t="s">
        <v>84</v>
      </c>
      <c r="H921" s="72" t="s">
        <v>84</v>
      </c>
      <c r="I921" s="297" t="s">
        <v>66</v>
      </c>
      <c r="K921" s="247"/>
      <c r="L921" s="247"/>
    </row>
    <row r="922">
      <c r="A922" s="259"/>
      <c r="B922" s="260"/>
      <c r="C922" s="260"/>
      <c r="D922" s="251" t="s">
        <v>163</v>
      </c>
      <c r="E922" s="251">
        <v>2.0</v>
      </c>
      <c r="F922" s="688"/>
      <c r="G922" s="686"/>
      <c r="H922" s="633" t="s">
        <v>165</v>
      </c>
      <c r="I922" s="255" t="s">
        <v>164</v>
      </c>
      <c r="K922" s="247"/>
      <c r="L922" s="247"/>
    </row>
    <row r="923">
      <c r="A923" s="240" t="s">
        <v>715</v>
      </c>
      <c r="B923" s="241" t="s">
        <v>716</v>
      </c>
      <c r="C923" s="242">
        <f>sum(E923:E926)</f>
        <v>6</v>
      </c>
      <c r="D923" s="251" t="s">
        <v>132</v>
      </c>
      <c r="E923" s="251">
        <v>1.0</v>
      </c>
      <c r="F923" s="364"/>
      <c r="G923" s="364"/>
      <c r="H923" s="293" t="s">
        <v>133</v>
      </c>
      <c r="I923" s="255" t="s">
        <v>106</v>
      </c>
      <c r="K923" s="247"/>
      <c r="L923" s="247"/>
    </row>
    <row r="924">
      <c r="A924" s="248"/>
      <c r="D924" s="251" t="s">
        <v>448</v>
      </c>
      <c r="E924" s="251">
        <v>2.0</v>
      </c>
      <c r="F924" s="257"/>
      <c r="G924" s="258"/>
      <c r="H924" s="254" t="s">
        <v>284</v>
      </c>
      <c r="I924" s="255" t="s">
        <v>66</v>
      </c>
      <c r="K924" s="247"/>
      <c r="L924" s="247"/>
    </row>
    <row r="925">
      <c r="A925" s="248"/>
      <c r="D925" s="251" t="s">
        <v>285</v>
      </c>
      <c r="E925" s="251">
        <v>1.0</v>
      </c>
      <c r="F925" s="257"/>
      <c r="G925" s="258"/>
      <c r="H925" s="254" t="s">
        <v>116</v>
      </c>
      <c r="I925" s="255" t="s">
        <v>106</v>
      </c>
      <c r="K925" s="247"/>
      <c r="L925" s="247"/>
    </row>
    <row r="926">
      <c r="A926" s="259"/>
      <c r="B926" s="260"/>
      <c r="C926" s="260"/>
      <c r="D926" s="251" t="s">
        <v>163</v>
      </c>
      <c r="E926" s="251">
        <v>2.0</v>
      </c>
      <c r="F926" s="256"/>
      <c r="G926" s="253"/>
      <c r="H926" s="254" t="s">
        <v>165</v>
      </c>
      <c r="I926" s="255" t="s">
        <v>164</v>
      </c>
      <c r="K926" s="247"/>
      <c r="L926" s="247"/>
    </row>
    <row r="927">
      <c r="A927" s="366" t="s">
        <v>717</v>
      </c>
      <c r="B927" s="329" t="s">
        <v>718</v>
      </c>
      <c r="C927" s="282">
        <f>sum(E927:E929)</f>
        <v>6</v>
      </c>
      <c r="D927" s="265" t="s">
        <v>98</v>
      </c>
      <c r="E927" s="265">
        <v>2.0</v>
      </c>
      <c r="F927" s="332"/>
      <c r="G927" s="332"/>
      <c r="H927" s="333" t="s">
        <v>100</v>
      </c>
      <c r="I927" s="286" t="s">
        <v>99</v>
      </c>
      <c r="K927" s="247"/>
      <c r="L927" s="247"/>
    </row>
    <row r="928">
      <c r="A928" s="248"/>
      <c r="D928" s="251" t="s">
        <v>276</v>
      </c>
      <c r="E928" s="251">
        <v>2.0</v>
      </c>
      <c r="F928" s="252"/>
      <c r="G928" s="253"/>
      <c r="H928" s="369"/>
      <c r="I928" s="255" t="s">
        <v>177</v>
      </c>
      <c r="K928" s="247"/>
      <c r="L928" s="247"/>
    </row>
    <row r="929">
      <c r="A929" s="259"/>
      <c r="B929" s="260"/>
      <c r="C929" s="260"/>
      <c r="D929" s="277" t="s">
        <v>163</v>
      </c>
      <c r="E929" s="277">
        <v>2.0</v>
      </c>
      <c r="F929" s="365"/>
      <c r="G929" s="316"/>
      <c r="H929" s="280" t="s">
        <v>165</v>
      </c>
      <c r="I929" s="281" t="s">
        <v>164</v>
      </c>
      <c r="K929" s="247"/>
      <c r="L929" s="247"/>
    </row>
    <row r="930">
      <c r="A930" s="366" t="s">
        <v>719</v>
      </c>
      <c r="B930" s="329" t="s">
        <v>720</v>
      </c>
      <c r="C930" s="282">
        <f>sum(E930:E932)</f>
        <v>6</v>
      </c>
      <c r="D930" s="264" t="s">
        <v>154</v>
      </c>
      <c r="E930" s="264">
        <v>2.0</v>
      </c>
      <c r="F930" s="374"/>
      <c r="G930" s="305"/>
      <c r="H930" s="285" t="s">
        <v>155</v>
      </c>
      <c r="I930" s="267" t="s">
        <v>145</v>
      </c>
      <c r="K930" s="247"/>
      <c r="L930" s="247"/>
    </row>
    <row r="931">
      <c r="A931" s="248"/>
      <c r="D931" s="251" t="s">
        <v>163</v>
      </c>
      <c r="E931" s="251">
        <v>2.0</v>
      </c>
      <c r="F931" s="256"/>
      <c r="G931" s="253"/>
      <c r="H931" s="254" t="s">
        <v>165</v>
      </c>
      <c r="I931" s="255" t="s">
        <v>164</v>
      </c>
      <c r="K931" s="247"/>
      <c r="L931" s="247"/>
    </row>
    <row r="932">
      <c r="A932" s="259"/>
      <c r="B932" s="260"/>
      <c r="C932" s="260"/>
      <c r="D932" s="277" t="s">
        <v>20</v>
      </c>
      <c r="E932" s="277">
        <v>2.0</v>
      </c>
      <c r="F932" s="315"/>
      <c r="G932" s="316"/>
      <c r="H932" s="280" t="s">
        <v>21</v>
      </c>
      <c r="I932" s="281" t="s">
        <v>8</v>
      </c>
      <c r="K932" s="247"/>
      <c r="L932" s="247"/>
    </row>
    <row r="933">
      <c r="A933" s="366" t="s">
        <v>721</v>
      </c>
      <c r="B933" s="329" t="s">
        <v>722</v>
      </c>
      <c r="C933" s="282">
        <f>sum(E933:E935)</f>
        <v>6</v>
      </c>
      <c r="D933" s="264" t="s">
        <v>163</v>
      </c>
      <c r="E933" s="264">
        <v>2.0</v>
      </c>
      <c r="F933" s="374"/>
      <c r="G933" s="305"/>
      <c r="H933" s="285" t="s">
        <v>165</v>
      </c>
      <c r="I933" s="286" t="s">
        <v>164</v>
      </c>
      <c r="K933" s="247"/>
      <c r="L933" s="247"/>
    </row>
    <row r="934">
      <c r="A934" s="248"/>
      <c r="D934" s="251" t="s">
        <v>18</v>
      </c>
      <c r="E934" s="251">
        <v>1.0</v>
      </c>
      <c r="F934" s="252"/>
      <c r="G934" s="253"/>
      <c r="H934" s="254" t="s">
        <v>322</v>
      </c>
      <c r="I934" s="255" t="s">
        <v>8</v>
      </c>
      <c r="K934" s="247"/>
      <c r="L934" s="247"/>
    </row>
    <row r="935">
      <c r="A935" s="259"/>
      <c r="B935" s="260"/>
      <c r="C935" s="260"/>
      <c r="D935" s="277" t="s">
        <v>406</v>
      </c>
      <c r="E935" s="277">
        <v>3.0</v>
      </c>
      <c r="F935" s="315"/>
      <c r="G935" s="316"/>
      <c r="H935" s="280" t="s">
        <v>32</v>
      </c>
      <c r="I935" s="493" t="s">
        <v>31</v>
      </c>
      <c r="K935" s="247"/>
      <c r="L935" s="247"/>
    </row>
    <row r="936">
      <c r="A936" s="653" t="s">
        <v>723</v>
      </c>
      <c r="B936" s="486" t="s">
        <v>724</v>
      </c>
      <c r="C936" s="242">
        <f>sum(E936:E938)</f>
        <v>6</v>
      </c>
      <c r="D936" s="251" t="s">
        <v>163</v>
      </c>
      <c r="E936" s="251">
        <v>2.0</v>
      </c>
      <c r="F936" s="256"/>
      <c r="G936" s="253"/>
      <c r="H936" s="254" t="s">
        <v>165</v>
      </c>
      <c r="I936" s="255" t="s">
        <v>164</v>
      </c>
      <c r="K936" s="247"/>
      <c r="L936" s="247"/>
    </row>
    <row r="937">
      <c r="A937" s="248"/>
      <c r="D937" s="251" t="s">
        <v>331</v>
      </c>
      <c r="E937" s="251">
        <v>2.0</v>
      </c>
      <c r="F937" s="252"/>
      <c r="G937" s="253"/>
      <c r="H937" s="254" t="s">
        <v>332</v>
      </c>
      <c r="I937" s="255" t="s">
        <v>8</v>
      </c>
      <c r="K937" s="247"/>
      <c r="L937" s="247"/>
    </row>
    <row r="938">
      <c r="A938" s="259"/>
      <c r="B938" s="260"/>
      <c r="C938" s="260"/>
      <c r="D938" s="299" t="s">
        <v>98</v>
      </c>
      <c r="E938" s="299">
        <v>2.0</v>
      </c>
      <c r="F938" s="372"/>
      <c r="G938" s="372"/>
      <c r="H938" s="373" t="s">
        <v>100</v>
      </c>
      <c r="I938" s="281" t="s">
        <v>99</v>
      </c>
      <c r="K938" s="247"/>
      <c r="L938" s="247"/>
    </row>
    <row r="939">
      <c r="A939" s="328" t="s">
        <v>725</v>
      </c>
      <c r="B939" s="329" t="s">
        <v>726</v>
      </c>
      <c r="C939" s="282">
        <f>sum(E939:E940)</f>
        <v>6</v>
      </c>
      <c r="D939" s="264" t="s">
        <v>727</v>
      </c>
      <c r="E939" s="264">
        <v>2.0</v>
      </c>
      <c r="F939" s="330"/>
      <c r="G939" s="305"/>
      <c r="H939" s="285" t="s">
        <v>728</v>
      </c>
      <c r="I939" s="428" t="s">
        <v>31</v>
      </c>
      <c r="K939" s="247"/>
      <c r="L939" s="247"/>
    </row>
    <row r="940">
      <c r="A940" s="259"/>
      <c r="B940" s="260"/>
      <c r="C940" s="260"/>
      <c r="D940" s="277" t="s">
        <v>729</v>
      </c>
      <c r="E940" s="277">
        <v>4.0</v>
      </c>
      <c r="F940" s="315"/>
      <c r="G940" s="316"/>
      <c r="H940" s="280" t="s">
        <v>730</v>
      </c>
      <c r="I940" s="281" t="s">
        <v>8</v>
      </c>
      <c r="K940" s="247"/>
      <c r="L940" s="247"/>
    </row>
    <row r="941">
      <c r="A941" s="261" t="s">
        <v>731</v>
      </c>
      <c r="B941" s="262" t="s">
        <v>732</v>
      </c>
      <c r="C941" s="282">
        <f>sum(E941:E943)</f>
        <v>6</v>
      </c>
      <c r="D941" s="264" t="s">
        <v>160</v>
      </c>
      <c r="E941" s="264">
        <v>1.0</v>
      </c>
      <c r="F941" s="265"/>
      <c r="G941" s="265"/>
      <c r="H941" s="285" t="s">
        <v>161</v>
      </c>
      <c r="I941" s="267" t="s">
        <v>145</v>
      </c>
      <c r="K941" s="247"/>
      <c r="L941" s="247"/>
    </row>
    <row r="942">
      <c r="A942" s="248"/>
      <c r="D942" s="357" t="s">
        <v>176</v>
      </c>
      <c r="E942" s="357">
        <v>3.0</v>
      </c>
      <c r="F942" s="253"/>
      <c r="G942" s="253"/>
      <c r="H942" s="254" t="s">
        <v>290</v>
      </c>
      <c r="I942" s="255" t="s">
        <v>177</v>
      </c>
      <c r="K942" s="247"/>
      <c r="L942" s="247"/>
    </row>
    <row r="943">
      <c r="A943" s="259"/>
      <c r="B943" s="260"/>
      <c r="C943" s="260"/>
      <c r="D943" s="299" t="s">
        <v>98</v>
      </c>
      <c r="E943" s="299">
        <v>2.0</v>
      </c>
      <c r="F943" s="372"/>
      <c r="G943" s="372"/>
      <c r="H943" s="373" t="s">
        <v>100</v>
      </c>
      <c r="I943" s="281" t="s">
        <v>99</v>
      </c>
      <c r="K943" s="247"/>
      <c r="L943" s="247"/>
    </row>
    <row r="944">
      <c r="A944" s="302" t="s">
        <v>733</v>
      </c>
      <c r="B944" s="262" t="s">
        <v>734</v>
      </c>
      <c r="C944" s="282">
        <f>sum(E944:E946)</f>
        <v>6</v>
      </c>
      <c r="D944" s="264" t="s">
        <v>167</v>
      </c>
      <c r="E944" s="264">
        <v>2.0</v>
      </c>
      <c r="F944" s="330"/>
      <c r="G944" s="305"/>
      <c r="H944" s="285" t="s">
        <v>168</v>
      </c>
      <c r="I944" s="286" t="s">
        <v>164</v>
      </c>
      <c r="K944" s="247"/>
      <c r="L944" s="247"/>
    </row>
    <row r="945">
      <c r="A945" s="248"/>
      <c r="D945" s="251" t="s">
        <v>50</v>
      </c>
      <c r="E945" s="251">
        <v>2.0</v>
      </c>
      <c r="F945" s="252"/>
      <c r="G945" s="253"/>
      <c r="H945" s="254" t="s">
        <v>51</v>
      </c>
      <c r="I945" s="255" t="s">
        <v>44</v>
      </c>
      <c r="K945" s="247"/>
      <c r="L945" s="247"/>
    </row>
    <row r="946">
      <c r="A946" s="259"/>
      <c r="B946" s="260"/>
      <c r="C946" s="260"/>
      <c r="D946" s="277" t="s">
        <v>80</v>
      </c>
      <c r="E946" s="277">
        <v>2.0</v>
      </c>
      <c r="F946" s="316"/>
      <c r="G946" s="316"/>
      <c r="H946" s="280" t="s">
        <v>81</v>
      </c>
      <c r="I946" s="281" t="s">
        <v>66</v>
      </c>
      <c r="K946" s="247"/>
      <c r="L946" s="247"/>
    </row>
    <row r="947">
      <c r="A947" s="328" t="s">
        <v>605</v>
      </c>
      <c r="B947" s="329" t="s">
        <v>735</v>
      </c>
      <c r="C947" s="282">
        <f>sum(E947:E949)</f>
        <v>6</v>
      </c>
      <c r="D947" s="264" t="s">
        <v>148</v>
      </c>
      <c r="E947" s="264">
        <v>3.0</v>
      </c>
      <c r="F947" s="265"/>
      <c r="G947" s="265"/>
      <c r="H947" s="266" t="s">
        <v>146</v>
      </c>
      <c r="I947" s="267" t="s">
        <v>145</v>
      </c>
      <c r="K947" s="247"/>
      <c r="L947" s="247"/>
    </row>
    <row r="948">
      <c r="A948" s="248"/>
      <c r="D948" s="251" t="s">
        <v>163</v>
      </c>
      <c r="E948" s="251">
        <v>2.0</v>
      </c>
      <c r="F948" s="256"/>
      <c r="G948" s="253"/>
      <c r="H948" s="254" t="s">
        <v>165</v>
      </c>
      <c r="I948" s="255" t="s">
        <v>164</v>
      </c>
      <c r="K948" s="247"/>
      <c r="L948" s="247"/>
    </row>
    <row r="949">
      <c r="A949" s="259"/>
      <c r="B949" s="260"/>
      <c r="C949" s="260"/>
      <c r="D949" s="299" t="s">
        <v>62</v>
      </c>
      <c r="E949" s="299">
        <v>1.0</v>
      </c>
      <c r="F949" s="372"/>
      <c r="G949" s="372"/>
      <c r="H949" s="373" t="s">
        <v>63</v>
      </c>
      <c r="I949" s="281" t="s">
        <v>44</v>
      </c>
      <c r="K949" s="247"/>
      <c r="L949" s="247"/>
    </row>
    <row r="950">
      <c r="A950" s="302" t="s">
        <v>736</v>
      </c>
      <c r="B950" s="591" t="s">
        <v>737</v>
      </c>
      <c r="C950" s="282">
        <f>sum(E950:E952)</f>
        <v>6</v>
      </c>
      <c r="D950" s="264" t="s">
        <v>163</v>
      </c>
      <c r="E950" s="264">
        <v>2.0</v>
      </c>
      <c r="F950" s="374"/>
      <c r="G950" s="305"/>
      <c r="H950" s="285" t="s">
        <v>165</v>
      </c>
      <c r="I950" s="286" t="s">
        <v>164</v>
      </c>
      <c r="K950" s="247"/>
      <c r="L950" s="247"/>
    </row>
    <row r="951">
      <c r="A951" s="248"/>
      <c r="D951" s="251" t="s">
        <v>65</v>
      </c>
      <c r="E951" s="251">
        <v>3.0</v>
      </c>
      <c r="F951" s="257"/>
      <c r="G951" s="258"/>
      <c r="H951" s="254" t="s">
        <v>284</v>
      </c>
      <c r="I951" s="255" t="s">
        <v>66</v>
      </c>
      <c r="K951" s="247"/>
      <c r="L951" s="247"/>
    </row>
    <row r="952">
      <c r="A952" s="259"/>
      <c r="B952" s="260"/>
      <c r="C952" s="260"/>
      <c r="D952" s="299" t="s">
        <v>62</v>
      </c>
      <c r="E952" s="299">
        <v>1.0</v>
      </c>
      <c r="F952" s="372"/>
      <c r="G952" s="372"/>
      <c r="H952" s="373" t="s">
        <v>63</v>
      </c>
      <c r="I952" s="281" t="s">
        <v>44</v>
      </c>
      <c r="K952" s="247"/>
      <c r="L952" s="247"/>
    </row>
    <row r="953">
      <c r="A953" s="689" t="s">
        <v>738</v>
      </c>
      <c r="B953" s="329" t="s">
        <v>739</v>
      </c>
      <c r="C953" s="282">
        <f>sum(E953:E955)</f>
        <v>6</v>
      </c>
      <c r="D953" s="304" t="s">
        <v>56</v>
      </c>
      <c r="E953" s="304">
        <v>1.0</v>
      </c>
      <c r="F953" s="305"/>
      <c r="G953" s="305"/>
      <c r="H953" s="285" t="s">
        <v>57</v>
      </c>
      <c r="I953" s="286" t="s">
        <v>44</v>
      </c>
      <c r="K953" s="247"/>
      <c r="L953" s="247"/>
    </row>
    <row r="954">
      <c r="A954" s="248"/>
      <c r="D954" s="251" t="s">
        <v>65</v>
      </c>
      <c r="E954" s="251">
        <v>3.0</v>
      </c>
      <c r="F954" s="257"/>
      <c r="G954" s="258"/>
      <c r="H954" s="254" t="s">
        <v>284</v>
      </c>
      <c r="I954" s="255" t="s">
        <v>66</v>
      </c>
      <c r="K954" s="247"/>
      <c r="L954" s="247"/>
    </row>
    <row r="955">
      <c r="A955" s="259"/>
      <c r="B955" s="260"/>
      <c r="C955" s="260"/>
      <c r="D955" s="277" t="s">
        <v>167</v>
      </c>
      <c r="E955" s="277">
        <v>2.0</v>
      </c>
      <c r="F955" s="315"/>
      <c r="G955" s="316"/>
      <c r="H955" s="280" t="s">
        <v>168</v>
      </c>
      <c r="I955" s="255" t="s">
        <v>164</v>
      </c>
      <c r="K955" s="247"/>
      <c r="L955" s="247"/>
    </row>
    <row r="956">
      <c r="A956" s="366" t="s">
        <v>740</v>
      </c>
      <c r="B956" s="303" t="s">
        <v>336</v>
      </c>
      <c r="C956" s="282">
        <f>sum(E956:E958)</f>
        <v>6</v>
      </c>
      <c r="D956" s="264" t="s">
        <v>167</v>
      </c>
      <c r="E956" s="264">
        <v>2.0</v>
      </c>
      <c r="F956" s="330"/>
      <c r="G956" s="305"/>
      <c r="H956" s="285" t="s">
        <v>168</v>
      </c>
      <c r="I956" s="286" t="s">
        <v>164</v>
      </c>
      <c r="K956" s="247"/>
      <c r="L956" s="247"/>
    </row>
    <row r="957">
      <c r="A957" s="248"/>
      <c r="D957" s="251" t="s">
        <v>160</v>
      </c>
      <c r="E957" s="251">
        <v>1.0</v>
      </c>
      <c r="F957" s="306"/>
      <c r="G957" s="306"/>
      <c r="H957" s="254" t="s">
        <v>161</v>
      </c>
      <c r="I957" s="287" t="s">
        <v>145</v>
      </c>
      <c r="K957" s="247"/>
      <c r="L957" s="247"/>
    </row>
    <row r="958">
      <c r="A958" s="259"/>
      <c r="B958" s="260"/>
      <c r="C958" s="260"/>
      <c r="D958" s="277" t="s">
        <v>65</v>
      </c>
      <c r="E958" s="277">
        <v>3.0</v>
      </c>
      <c r="F958" s="278"/>
      <c r="G958" s="279"/>
      <c r="H958" s="280" t="s">
        <v>284</v>
      </c>
      <c r="I958" s="281" t="s">
        <v>66</v>
      </c>
      <c r="K958" s="247"/>
      <c r="L958" s="247"/>
    </row>
    <row r="959">
      <c r="A959" s="689" t="s">
        <v>741</v>
      </c>
      <c r="B959" s="591" t="s">
        <v>742</v>
      </c>
      <c r="C959" s="282">
        <f>sum(E959:E961)</f>
        <v>6</v>
      </c>
      <c r="D959" s="264" t="s">
        <v>80</v>
      </c>
      <c r="E959" s="264">
        <v>2.0</v>
      </c>
      <c r="F959" s="305"/>
      <c r="G959" s="305"/>
      <c r="H959" s="285" t="s">
        <v>81</v>
      </c>
      <c r="I959" s="286" t="s">
        <v>66</v>
      </c>
      <c r="K959" s="247"/>
      <c r="L959" s="247"/>
    </row>
    <row r="960">
      <c r="A960" s="248"/>
      <c r="D960" s="306" t="s">
        <v>98</v>
      </c>
      <c r="E960" s="306">
        <v>2.0</v>
      </c>
      <c r="F960" s="274"/>
      <c r="G960" s="274"/>
      <c r="H960" s="275" t="s">
        <v>100</v>
      </c>
      <c r="I960" s="255" t="s">
        <v>99</v>
      </c>
      <c r="K960" s="247"/>
      <c r="L960" s="247"/>
    </row>
    <row r="961">
      <c r="A961" s="259"/>
      <c r="B961" s="260"/>
      <c r="C961" s="260"/>
      <c r="D961" s="277" t="s">
        <v>163</v>
      </c>
      <c r="E961" s="277">
        <v>2.0</v>
      </c>
      <c r="F961" s="365"/>
      <c r="G961" s="316"/>
      <c r="H961" s="280" t="s">
        <v>165</v>
      </c>
      <c r="I961" s="281" t="s">
        <v>164</v>
      </c>
      <c r="K961" s="247"/>
      <c r="L961" s="247"/>
    </row>
    <row r="962">
      <c r="A962" s="261" t="s">
        <v>743</v>
      </c>
      <c r="B962" s="262" t="s">
        <v>744</v>
      </c>
      <c r="C962" s="282">
        <f>sum(E962:E965)</f>
        <v>6</v>
      </c>
      <c r="D962" s="264" t="s">
        <v>331</v>
      </c>
      <c r="E962" s="264">
        <v>2.0</v>
      </c>
      <c r="F962" s="330"/>
      <c r="G962" s="305"/>
      <c r="H962" s="285" t="s">
        <v>332</v>
      </c>
      <c r="I962" s="286" t="s">
        <v>8</v>
      </c>
      <c r="K962" s="247"/>
      <c r="L962" s="247"/>
    </row>
    <row r="963">
      <c r="A963" s="248"/>
      <c r="D963" s="251" t="s">
        <v>745</v>
      </c>
      <c r="E963" s="251">
        <v>3.0</v>
      </c>
      <c r="F963" s="257"/>
      <c r="G963" s="258"/>
      <c r="H963" s="254" t="s">
        <v>746</v>
      </c>
      <c r="I963" s="255" t="s">
        <v>177</v>
      </c>
      <c r="K963" s="247"/>
      <c r="L963" s="247"/>
    </row>
    <row r="964">
      <c r="A964" s="248"/>
      <c r="D964" s="357" t="s">
        <v>747</v>
      </c>
      <c r="E964" s="251">
        <v>0.0</v>
      </c>
      <c r="F964" s="256"/>
      <c r="G964" s="253"/>
      <c r="H964" s="254" t="s">
        <v>748</v>
      </c>
      <c r="I964" s="255" t="s">
        <v>106</v>
      </c>
      <c r="K964" s="247"/>
      <c r="L964" s="247"/>
    </row>
    <row r="965">
      <c r="A965" s="259"/>
      <c r="B965" s="260"/>
      <c r="C965" s="260"/>
      <c r="D965" s="251" t="s">
        <v>749</v>
      </c>
      <c r="E965" s="251">
        <v>1.0</v>
      </c>
      <c r="F965" s="256"/>
      <c r="G965" s="253"/>
      <c r="H965" s="254" t="s">
        <v>750</v>
      </c>
      <c r="I965" s="255" t="s">
        <v>164</v>
      </c>
      <c r="K965" s="247"/>
      <c r="L965" s="247"/>
    </row>
    <row r="966">
      <c r="A966" s="261" t="s">
        <v>751</v>
      </c>
      <c r="B966" s="262" t="s">
        <v>752</v>
      </c>
      <c r="C966" s="282">
        <f>sum(E966:E968)</f>
        <v>6</v>
      </c>
      <c r="D966" s="264" t="s">
        <v>18</v>
      </c>
      <c r="E966" s="264">
        <v>2.0</v>
      </c>
      <c r="F966" s="330"/>
      <c r="G966" s="305"/>
      <c r="H966" s="350" t="s">
        <v>322</v>
      </c>
      <c r="I966" s="286" t="s">
        <v>8</v>
      </c>
      <c r="K966" s="247"/>
      <c r="L966" s="247"/>
    </row>
    <row r="967">
      <c r="A967" s="248"/>
      <c r="D967" s="251" t="s">
        <v>753</v>
      </c>
      <c r="E967" s="251">
        <v>3.0</v>
      </c>
      <c r="F967" s="256"/>
      <c r="G967" s="253"/>
      <c r="H967" s="254" t="s">
        <v>754</v>
      </c>
      <c r="I967" s="255" t="s">
        <v>24</v>
      </c>
      <c r="K967" s="247"/>
      <c r="L967" s="247"/>
    </row>
    <row r="968">
      <c r="A968" s="259"/>
      <c r="B968" s="260"/>
      <c r="C968" s="260"/>
      <c r="D968" s="277" t="s">
        <v>141</v>
      </c>
      <c r="E968" s="277">
        <v>1.0</v>
      </c>
      <c r="F968" s="316"/>
      <c r="G968" s="316"/>
      <c r="H968" s="280" t="s">
        <v>142</v>
      </c>
      <c r="I968" s="281" t="s">
        <v>106</v>
      </c>
      <c r="K968" s="247"/>
      <c r="L968" s="247"/>
    </row>
    <row r="969">
      <c r="A969" s="690" t="s">
        <v>755</v>
      </c>
      <c r="B969" s="327" t="s">
        <v>756</v>
      </c>
      <c r="C969" s="242">
        <f>sum(E969:E972)</f>
        <v>6</v>
      </c>
      <c r="D969" s="251" t="s">
        <v>23</v>
      </c>
      <c r="E969" s="251">
        <v>2.0</v>
      </c>
      <c r="F969" s="351"/>
      <c r="G969" s="352"/>
      <c r="H969" s="293" t="s">
        <v>308</v>
      </c>
      <c r="I969" s="255" t="s">
        <v>24</v>
      </c>
      <c r="K969" s="247"/>
      <c r="L969" s="247"/>
    </row>
    <row r="970">
      <c r="A970" s="248"/>
      <c r="D970" s="251" t="s">
        <v>285</v>
      </c>
      <c r="E970" s="251">
        <v>1.0</v>
      </c>
      <c r="F970" s="257"/>
      <c r="G970" s="258"/>
      <c r="H970" s="254" t="s">
        <v>116</v>
      </c>
      <c r="I970" s="255" t="s">
        <v>106</v>
      </c>
      <c r="K970" s="247"/>
      <c r="L970" s="247"/>
    </row>
    <row r="971">
      <c r="A971" s="248"/>
      <c r="D971" s="251" t="s">
        <v>331</v>
      </c>
      <c r="E971" s="251">
        <v>2.0</v>
      </c>
      <c r="F971" s="252"/>
      <c r="G971" s="253"/>
      <c r="H971" s="254" t="s">
        <v>332</v>
      </c>
      <c r="I971" s="255" t="s">
        <v>8</v>
      </c>
      <c r="K971" s="247"/>
      <c r="L971" s="247"/>
    </row>
    <row r="972">
      <c r="A972" s="259"/>
      <c r="B972" s="260"/>
      <c r="C972" s="260"/>
      <c r="D972" s="277" t="s">
        <v>160</v>
      </c>
      <c r="E972" s="277">
        <v>1.0</v>
      </c>
      <c r="F972" s="299"/>
      <c r="G972" s="299"/>
      <c r="H972" s="280" t="s">
        <v>161</v>
      </c>
      <c r="I972" s="301" t="s">
        <v>145</v>
      </c>
      <c r="K972" s="247"/>
      <c r="L972" s="247"/>
    </row>
    <row r="973">
      <c r="A973" s="328" t="s">
        <v>757</v>
      </c>
      <c r="B973" s="303" t="s">
        <v>758</v>
      </c>
      <c r="C973" s="282">
        <f>sum(E973:E975)</f>
        <v>6</v>
      </c>
      <c r="D973" s="264" t="s">
        <v>65</v>
      </c>
      <c r="E973" s="264">
        <v>3.0</v>
      </c>
      <c r="F973" s="283"/>
      <c r="G973" s="284"/>
      <c r="H973" s="285" t="s">
        <v>284</v>
      </c>
      <c r="I973" s="286" t="s">
        <v>66</v>
      </c>
      <c r="K973" s="247"/>
      <c r="L973" s="247"/>
    </row>
    <row r="974">
      <c r="A974" s="248"/>
      <c r="D974" s="251" t="s">
        <v>173</v>
      </c>
      <c r="E974" s="251">
        <v>1.0</v>
      </c>
      <c r="F974" s="252"/>
      <c r="G974" s="253"/>
      <c r="H974" s="254" t="s">
        <v>422</v>
      </c>
      <c r="I974" s="255" t="s">
        <v>164</v>
      </c>
      <c r="K974" s="247"/>
      <c r="L974" s="247"/>
    </row>
    <row r="975">
      <c r="A975" s="259"/>
      <c r="B975" s="260"/>
      <c r="C975" s="260"/>
      <c r="D975" s="277" t="s">
        <v>23</v>
      </c>
      <c r="E975" s="277">
        <v>2.0</v>
      </c>
      <c r="F975" s="408"/>
      <c r="G975" s="409"/>
      <c r="H975" s="300" t="s">
        <v>308</v>
      </c>
      <c r="I975" s="281" t="s">
        <v>24</v>
      </c>
      <c r="K975" s="247"/>
      <c r="L975" s="247"/>
    </row>
    <row r="976">
      <c r="A976" s="261" t="s">
        <v>759</v>
      </c>
      <c r="B976" s="262" t="s">
        <v>684</v>
      </c>
      <c r="C976" s="263">
        <f>sum(E976:E979)</f>
        <v>6</v>
      </c>
      <c r="D976" s="264" t="s">
        <v>65</v>
      </c>
      <c r="E976" s="264">
        <v>3.0</v>
      </c>
      <c r="F976" s="283"/>
      <c r="G976" s="284"/>
      <c r="H976" s="285" t="s">
        <v>284</v>
      </c>
      <c r="I976" s="286" t="s">
        <v>66</v>
      </c>
      <c r="K976" s="247"/>
      <c r="L976" s="247"/>
    </row>
    <row r="977">
      <c r="A977" s="248"/>
      <c r="D977" s="288" t="s">
        <v>190</v>
      </c>
      <c r="E977" s="289">
        <v>1.0</v>
      </c>
      <c r="F977" s="12"/>
      <c r="G977" s="290"/>
      <c r="H977" s="291" t="s">
        <v>191</v>
      </c>
      <c r="I977" s="292" t="s">
        <v>187</v>
      </c>
      <c r="K977" s="247"/>
      <c r="L977" s="247"/>
    </row>
    <row r="978">
      <c r="A978" s="248"/>
      <c r="D978" s="251" t="s">
        <v>118</v>
      </c>
      <c r="E978" s="251">
        <v>1.0</v>
      </c>
      <c r="F978" s="253"/>
      <c r="G978" s="253"/>
      <c r="H978" s="254" t="s">
        <v>323</v>
      </c>
      <c r="I978" s="255" t="s">
        <v>106</v>
      </c>
      <c r="K978" s="247"/>
      <c r="L978" s="247"/>
    </row>
    <row r="979">
      <c r="A979" s="259"/>
      <c r="B979" s="260"/>
      <c r="C979" s="260"/>
      <c r="D979" s="277" t="s">
        <v>141</v>
      </c>
      <c r="E979" s="277">
        <v>1.0</v>
      </c>
      <c r="F979" s="316"/>
      <c r="G979" s="316"/>
      <c r="H979" s="280" t="s">
        <v>142</v>
      </c>
      <c r="I979" s="281" t="s">
        <v>106</v>
      </c>
      <c r="K979" s="247"/>
      <c r="L979" s="247"/>
    </row>
    <row r="980">
      <c r="A980" s="413" t="s">
        <v>760</v>
      </c>
      <c r="B980" s="262" t="s">
        <v>625</v>
      </c>
      <c r="C980" s="263">
        <f>sum(E980:E983)</f>
        <v>6</v>
      </c>
      <c r="D980" s="264" t="s">
        <v>12</v>
      </c>
      <c r="E980" s="264">
        <v>2.0</v>
      </c>
      <c r="F980" s="406"/>
      <c r="G980" s="406"/>
      <c r="H980" s="266" t="s">
        <v>349</v>
      </c>
      <c r="I980" s="286" t="s">
        <v>8</v>
      </c>
      <c r="K980" s="247"/>
      <c r="L980" s="247"/>
    </row>
    <row r="981">
      <c r="A981" s="248"/>
      <c r="D981" s="251" t="s">
        <v>160</v>
      </c>
      <c r="E981" s="251">
        <v>1.0</v>
      </c>
      <c r="F981" s="306"/>
      <c r="G981" s="306"/>
      <c r="H981" s="254" t="s">
        <v>161</v>
      </c>
      <c r="I981" s="287" t="s">
        <v>145</v>
      </c>
      <c r="K981" s="247"/>
      <c r="L981" s="247"/>
    </row>
    <row r="982">
      <c r="A982" s="248"/>
      <c r="D982" s="251" t="s">
        <v>163</v>
      </c>
      <c r="E982" s="251">
        <v>2.0</v>
      </c>
      <c r="F982" s="256"/>
      <c r="G982" s="253"/>
      <c r="H982" s="254" t="s">
        <v>165</v>
      </c>
      <c r="I982" s="255" t="s">
        <v>164</v>
      </c>
      <c r="K982" s="247"/>
      <c r="L982" s="247"/>
    </row>
    <row r="983">
      <c r="A983" s="259"/>
      <c r="B983" s="260"/>
      <c r="C983" s="260"/>
      <c r="D983" s="277" t="s">
        <v>118</v>
      </c>
      <c r="E983" s="277">
        <v>1.0</v>
      </c>
      <c r="F983" s="316"/>
      <c r="G983" s="316"/>
      <c r="H983" s="280" t="s">
        <v>323</v>
      </c>
      <c r="I983" s="281" t="s">
        <v>106</v>
      </c>
      <c r="K983" s="247"/>
      <c r="L983" s="247"/>
    </row>
    <row r="984">
      <c r="A984" s="261" t="s">
        <v>761</v>
      </c>
      <c r="B984" s="262" t="s">
        <v>762</v>
      </c>
      <c r="C984" s="282">
        <f>sum(E984:E985)</f>
        <v>6</v>
      </c>
      <c r="D984" s="304" t="s">
        <v>176</v>
      </c>
      <c r="E984" s="304">
        <v>4.0</v>
      </c>
      <c r="F984" s="305"/>
      <c r="G984" s="305"/>
      <c r="H984" s="285" t="s">
        <v>290</v>
      </c>
      <c r="I984" s="286" t="s">
        <v>177</v>
      </c>
      <c r="K984" s="247"/>
      <c r="L984" s="247"/>
    </row>
    <row r="985">
      <c r="A985" s="259"/>
      <c r="B985" s="260"/>
      <c r="C985" s="260"/>
      <c r="D985" s="277" t="s">
        <v>163</v>
      </c>
      <c r="E985" s="277">
        <v>2.0</v>
      </c>
      <c r="F985" s="365"/>
      <c r="G985" s="316"/>
      <c r="H985" s="280" t="s">
        <v>165</v>
      </c>
      <c r="I985" s="281" t="s">
        <v>164</v>
      </c>
      <c r="K985" s="247"/>
      <c r="L985" s="247"/>
    </row>
    <row r="986">
      <c r="A986" s="261" t="s">
        <v>763</v>
      </c>
      <c r="B986" s="303" t="s">
        <v>764</v>
      </c>
      <c r="C986" s="263">
        <f>sum(E986:E990)</f>
        <v>6</v>
      </c>
      <c r="D986" s="264" t="s">
        <v>160</v>
      </c>
      <c r="E986" s="264">
        <v>1.0</v>
      </c>
      <c r="F986" s="265"/>
      <c r="G986" s="265"/>
      <c r="H986" s="285" t="s">
        <v>161</v>
      </c>
      <c r="I986" s="267" t="s">
        <v>145</v>
      </c>
      <c r="K986" s="247"/>
      <c r="L986" s="247"/>
    </row>
    <row r="987">
      <c r="A987" s="248"/>
      <c r="D987" s="358" t="s">
        <v>151</v>
      </c>
      <c r="E987" s="358">
        <v>2.0</v>
      </c>
      <c r="F987" s="359"/>
      <c r="G987" s="359"/>
      <c r="H987" s="359" t="s">
        <v>152</v>
      </c>
      <c r="I987" s="360" t="s">
        <v>145</v>
      </c>
      <c r="K987" s="247"/>
      <c r="L987" s="247"/>
    </row>
    <row r="988">
      <c r="A988" s="248"/>
      <c r="D988" s="361" t="s">
        <v>138</v>
      </c>
      <c r="E988" s="362">
        <v>1.0</v>
      </c>
      <c r="F988" s="105"/>
      <c r="G988" s="114"/>
      <c r="H988" s="363" t="s">
        <v>139</v>
      </c>
      <c r="I988" s="355" t="s">
        <v>106</v>
      </c>
      <c r="K988" s="247"/>
      <c r="L988" s="247"/>
    </row>
    <row r="989">
      <c r="A989" s="248"/>
      <c r="D989" s="251" t="s">
        <v>127</v>
      </c>
      <c r="E989" s="251">
        <v>1.0</v>
      </c>
      <c r="F989" s="400"/>
      <c r="G989" s="401"/>
      <c r="H989" s="254" t="s">
        <v>128</v>
      </c>
      <c r="I989" s="255" t="s">
        <v>106</v>
      </c>
      <c r="K989" s="247"/>
      <c r="L989" s="247"/>
    </row>
    <row r="990">
      <c r="A990" s="259"/>
      <c r="B990" s="260"/>
      <c r="C990" s="260"/>
      <c r="D990" s="277" t="s">
        <v>135</v>
      </c>
      <c r="E990" s="277">
        <v>1.0</v>
      </c>
      <c r="F990" s="315"/>
      <c r="G990" s="316"/>
      <c r="H990" s="280" t="s">
        <v>136</v>
      </c>
      <c r="I990" s="281" t="s">
        <v>106</v>
      </c>
      <c r="K990" s="247"/>
      <c r="L990" s="247"/>
    </row>
    <row r="991">
      <c r="A991" s="261" t="s">
        <v>765</v>
      </c>
      <c r="B991" s="262" t="s">
        <v>766</v>
      </c>
      <c r="C991" s="263">
        <f>sum(E991:E994)</f>
        <v>6</v>
      </c>
      <c r="D991" s="264" t="s">
        <v>23</v>
      </c>
      <c r="E991" s="264">
        <v>2.0</v>
      </c>
      <c r="F991" s="374"/>
      <c r="G991" s="305"/>
      <c r="H991" s="285" t="s">
        <v>308</v>
      </c>
      <c r="I991" s="286" t="s">
        <v>24</v>
      </c>
      <c r="K991" s="247"/>
      <c r="L991" s="247"/>
    </row>
    <row r="992">
      <c r="A992" s="248"/>
      <c r="D992" s="335" t="s">
        <v>37</v>
      </c>
      <c r="E992" s="335">
        <v>1.0</v>
      </c>
      <c r="F992" s="39"/>
      <c r="G992" s="41"/>
      <c r="H992" s="670" t="s">
        <v>38</v>
      </c>
      <c r="I992" s="336" t="s">
        <v>31</v>
      </c>
      <c r="K992" s="247"/>
      <c r="L992" s="247"/>
    </row>
    <row r="993">
      <c r="A993" s="248"/>
      <c r="D993" s="251" t="s">
        <v>163</v>
      </c>
      <c r="E993" s="251">
        <v>2.0</v>
      </c>
      <c r="F993" s="256"/>
      <c r="G993" s="253"/>
      <c r="H993" s="254" t="s">
        <v>165</v>
      </c>
      <c r="I993" s="255" t="s">
        <v>164</v>
      </c>
      <c r="K993" s="247"/>
      <c r="L993" s="247"/>
    </row>
    <row r="994">
      <c r="A994" s="259"/>
      <c r="B994" s="260"/>
      <c r="C994" s="260"/>
      <c r="D994" s="277" t="s">
        <v>135</v>
      </c>
      <c r="E994" s="277">
        <v>1.0</v>
      </c>
      <c r="F994" s="315"/>
      <c r="G994" s="316"/>
      <c r="H994" s="280" t="s">
        <v>136</v>
      </c>
      <c r="I994" s="281" t="s">
        <v>106</v>
      </c>
      <c r="K994" s="247"/>
      <c r="L994" s="247"/>
    </row>
    <row r="995">
      <c r="A995" s="261" t="s">
        <v>767</v>
      </c>
      <c r="B995" s="262" t="s">
        <v>768</v>
      </c>
      <c r="C995" s="263">
        <f>sum(E995:E998)</f>
        <v>6</v>
      </c>
      <c r="D995" s="264" t="s">
        <v>56</v>
      </c>
      <c r="E995" s="264">
        <v>1.0</v>
      </c>
      <c r="F995" s="330"/>
      <c r="G995" s="305"/>
      <c r="H995" s="285" t="s">
        <v>57</v>
      </c>
      <c r="I995" s="286" t="s">
        <v>44</v>
      </c>
      <c r="K995" s="247"/>
      <c r="L995" s="247"/>
    </row>
    <row r="996">
      <c r="A996" s="248"/>
      <c r="D996" s="251" t="s">
        <v>12</v>
      </c>
      <c r="E996" s="251">
        <v>2.0</v>
      </c>
      <c r="F996" s="364"/>
      <c r="G996" s="364"/>
      <c r="H996" s="293" t="s">
        <v>349</v>
      </c>
      <c r="I996" s="255" t="s">
        <v>8</v>
      </c>
      <c r="K996" s="247"/>
      <c r="L996" s="247"/>
    </row>
    <row r="997">
      <c r="A997" s="248"/>
      <c r="D997" s="251" t="s">
        <v>160</v>
      </c>
      <c r="E997" s="251">
        <v>1.0</v>
      </c>
      <c r="F997" s="306"/>
      <c r="G997" s="306"/>
      <c r="H997" s="254" t="s">
        <v>161</v>
      </c>
      <c r="I997" s="287" t="s">
        <v>145</v>
      </c>
      <c r="K997" s="247"/>
      <c r="L997" s="247"/>
    </row>
    <row r="998">
      <c r="A998" s="259"/>
      <c r="B998" s="260"/>
      <c r="C998" s="260"/>
      <c r="D998" s="277" t="s">
        <v>163</v>
      </c>
      <c r="E998" s="277">
        <v>2.0</v>
      </c>
      <c r="F998" s="365"/>
      <c r="G998" s="316"/>
      <c r="H998" s="280" t="s">
        <v>165</v>
      </c>
      <c r="I998" s="281" t="s">
        <v>164</v>
      </c>
      <c r="K998" s="247"/>
      <c r="L998" s="247"/>
    </row>
    <row r="999">
      <c r="A999" s="261" t="s">
        <v>769</v>
      </c>
      <c r="B999" s="262" t="s">
        <v>770</v>
      </c>
      <c r="C999" s="282">
        <f>sum(E999:E1001)</f>
        <v>6</v>
      </c>
      <c r="D999" s="264" t="s">
        <v>121</v>
      </c>
      <c r="E999" s="264">
        <v>1.0</v>
      </c>
      <c r="F999" s="406"/>
      <c r="G999" s="406"/>
      <c r="H999" s="266" t="s">
        <v>328</v>
      </c>
      <c r="I999" s="286" t="s">
        <v>106</v>
      </c>
      <c r="K999" s="247"/>
      <c r="L999" s="247"/>
    </row>
    <row r="1000">
      <c r="A1000" s="248"/>
      <c r="D1000" s="251" t="s">
        <v>23</v>
      </c>
      <c r="E1000" s="251">
        <v>2.0</v>
      </c>
      <c r="F1000" s="351"/>
      <c r="G1000" s="352"/>
      <c r="H1000" s="293" t="s">
        <v>308</v>
      </c>
      <c r="I1000" s="255" t="s">
        <v>24</v>
      </c>
      <c r="K1000" s="247"/>
      <c r="L1000" s="247"/>
    </row>
    <row r="1001">
      <c r="A1001" s="259"/>
      <c r="B1001" s="260"/>
      <c r="C1001" s="260"/>
      <c r="D1001" s="314" t="s">
        <v>771</v>
      </c>
      <c r="E1001" s="314">
        <v>3.0</v>
      </c>
      <c r="F1001" s="315"/>
      <c r="G1001" s="315"/>
      <c r="H1001" s="466" t="s">
        <v>772</v>
      </c>
      <c r="I1001" s="281" t="s">
        <v>106</v>
      </c>
      <c r="K1001" s="247"/>
      <c r="L1001" s="247"/>
    </row>
    <row r="1002">
      <c r="A1002" s="691" t="s">
        <v>773</v>
      </c>
      <c r="B1002" s="376" t="s">
        <v>774</v>
      </c>
      <c r="C1002" s="263">
        <f>sum(E1002:E1005)</f>
        <v>6</v>
      </c>
      <c r="D1002" s="649" t="s">
        <v>92</v>
      </c>
      <c r="E1002" s="649">
        <v>1.0</v>
      </c>
      <c r="F1002" s="650"/>
      <c r="G1002" s="651"/>
      <c r="H1002" s="652" t="s">
        <v>93</v>
      </c>
      <c r="I1002" s="511" t="s">
        <v>66</v>
      </c>
      <c r="K1002" s="247"/>
      <c r="L1002" s="247"/>
    </row>
    <row r="1003">
      <c r="A1003" s="248"/>
      <c r="D1003" s="434" t="s">
        <v>27</v>
      </c>
      <c r="E1003" s="435">
        <v>1.0</v>
      </c>
      <c r="F1003" s="436"/>
      <c r="G1003" s="437"/>
      <c r="H1003" s="438" t="s">
        <v>28</v>
      </c>
      <c r="I1003" s="439" t="s">
        <v>24</v>
      </c>
      <c r="K1003" s="247"/>
      <c r="L1003" s="247"/>
    </row>
    <row r="1004">
      <c r="A1004" s="248"/>
      <c r="D1004" s="251" t="s">
        <v>163</v>
      </c>
      <c r="E1004" s="251">
        <v>2.0</v>
      </c>
      <c r="F1004" s="256"/>
      <c r="G1004" s="253"/>
      <c r="H1004" s="254" t="s">
        <v>165</v>
      </c>
      <c r="I1004" s="255" t="s">
        <v>164</v>
      </c>
      <c r="K1004" s="247"/>
      <c r="L1004" s="247"/>
    </row>
    <row r="1005">
      <c r="A1005" s="259"/>
      <c r="B1005" s="260"/>
      <c r="C1005" s="260"/>
      <c r="D1005" s="338" t="s">
        <v>151</v>
      </c>
      <c r="E1005" s="338">
        <v>2.0</v>
      </c>
      <c r="F1005" s="339"/>
      <c r="G1005" s="339"/>
      <c r="H1005" s="339" t="s">
        <v>152</v>
      </c>
      <c r="I1005" s="342" t="s">
        <v>145</v>
      </c>
      <c r="K1005" s="247"/>
      <c r="L1005" s="247"/>
    </row>
    <row r="1006">
      <c r="A1006" s="261" t="s">
        <v>775</v>
      </c>
      <c r="B1006" s="262" t="s">
        <v>776</v>
      </c>
      <c r="C1006" s="263">
        <f>sum(E1006:E1008)</f>
        <v>6</v>
      </c>
      <c r="D1006" s="264" t="s">
        <v>50</v>
      </c>
      <c r="E1006" s="264">
        <v>2.0</v>
      </c>
      <c r="F1006" s="330"/>
      <c r="G1006" s="305"/>
      <c r="H1006" s="285" t="s">
        <v>51</v>
      </c>
      <c r="I1006" s="286" t="s">
        <v>44</v>
      </c>
      <c r="K1006" s="247"/>
      <c r="L1006" s="247"/>
    </row>
    <row r="1007">
      <c r="A1007" s="248"/>
      <c r="D1007" s="251" t="s">
        <v>12</v>
      </c>
      <c r="E1007" s="251">
        <v>2.0</v>
      </c>
      <c r="F1007" s="364"/>
      <c r="G1007" s="364"/>
      <c r="H1007" s="293" t="s">
        <v>349</v>
      </c>
      <c r="I1007" s="255" t="s">
        <v>8</v>
      </c>
      <c r="K1007" s="247"/>
      <c r="L1007" s="247"/>
    </row>
    <row r="1008">
      <c r="A1008" s="259"/>
      <c r="B1008" s="260"/>
      <c r="C1008" s="260"/>
      <c r="D1008" s="299" t="s">
        <v>98</v>
      </c>
      <c r="E1008" s="299">
        <v>2.0</v>
      </c>
      <c r="F1008" s="372"/>
      <c r="G1008" s="372"/>
      <c r="H1008" s="373" t="s">
        <v>100</v>
      </c>
      <c r="I1008" s="281" t="s">
        <v>99</v>
      </c>
      <c r="K1008" s="247"/>
      <c r="L1008" s="247"/>
    </row>
    <row r="1009">
      <c r="A1009" s="261" t="s">
        <v>777</v>
      </c>
      <c r="B1009" s="303" t="s">
        <v>778</v>
      </c>
      <c r="C1009" s="263">
        <f>sum(E1009:E1012)</f>
        <v>6</v>
      </c>
      <c r="D1009" s="264" t="s">
        <v>160</v>
      </c>
      <c r="E1009" s="264">
        <v>1.0</v>
      </c>
      <c r="F1009" s="265"/>
      <c r="G1009" s="265"/>
      <c r="H1009" s="285" t="s">
        <v>161</v>
      </c>
      <c r="I1009" s="267" t="s">
        <v>145</v>
      </c>
      <c r="K1009" s="247"/>
      <c r="L1009" s="247"/>
    </row>
    <row r="1010">
      <c r="A1010" s="248"/>
      <c r="D1010" s="251" t="s">
        <v>163</v>
      </c>
      <c r="E1010" s="251">
        <v>2.0</v>
      </c>
      <c r="F1010" s="256"/>
      <c r="G1010" s="253"/>
      <c r="H1010" s="254" t="s">
        <v>165</v>
      </c>
      <c r="I1010" s="255" t="s">
        <v>164</v>
      </c>
      <c r="K1010" s="247"/>
      <c r="L1010" s="247"/>
    </row>
    <row r="1011">
      <c r="A1011" s="248"/>
      <c r="D1011" s="251" t="s">
        <v>105</v>
      </c>
      <c r="E1011" s="251">
        <v>2.0</v>
      </c>
      <c r="F1011" s="364"/>
      <c r="G1011" s="364"/>
      <c r="H1011" s="293" t="s">
        <v>107</v>
      </c>
      <c r="I1011" s="255" t="s">
        <v>106</v>
      </c>
      <c r="K1011" s="247"/>
      <c r="L1011" s="247"/>
    </row>
    <row r="1012">
      <c r="A1012" s="259"/>
      <c r="B1012" s="260"/>
      <c r="C1012" s="260"/>
      <c r="D1012" s="394" t="s">
        <v>121</v>
      </c>
      <c r="E1012" s="394">
        <v>1.0</v>
      </c>
      <c r="F1012" s="395"/>
      <c r="G1012" s="372"/>
      <c r="H1012" s="373" t="s">
        <v>122</v>
      </c>
      <c r="I1012" s="396" t="s">
        <v>106</v>
      </c>
      <c r="K1012" s="247"/>
      <c r="L1012" s="247"/>
    </row>
    <row r="1013">
      <c r="A1013" s="261" t="s">
        <v>779</v>
      </c>
      <c r="B1013" s="262" t="s">
        <v>780</v>
      </c>
      <c r="C1013" s="263">
        <f>sum(E1013:E1017)</f>
        <v>6</v>
      </c>
      <c r="D1013" s="556" t="s">
        <v>86</v>
      </c>
      <c r="E1013" s="556">
        <v>1.0</v>
      </c>
      <c r="F1013" s="63"/>
      <c r="G1013" s="65"/>
      <c r="H1013" s="65" t="s">
        <v>87</v>
      </c>
      <c r="I1013" s="320" t="s">
        <v>66</v>
      </c>
      <c r="K1013" s="247"/>
      <c r="L1013" s="247"/>
    </row>
    <row r="1014">
      <c r="A1014" s="248"/>
      <c r="D1014" s="251" t="s">
        <v>105</v>
      </c>
      <c r="E1014" s="251">
        <v>2.0</v>
      </c>
      <c r="F1014" s="364"/>
      <c r="G1014" s="364"/>
      <c r="H1014" s="293" t="s">
        <v>107</v>
      </c>
      <c r="I1014" s="255" t="s">
        <v>106</v>
      </c>
      <c r="K1014" s="247"/>
      <c r="L1014" s="247"/>
    </row>
    <row r="1015">
      <c r="A1015" s="248"/>
      <c r="D1015" s="251" t="s">
        <v>132</v>
      </c>
      <c r="E1015" s="251">
        <v>1.0</v>
      </c>
      <c r="F1015" s="252"/>
      <c r="G1015" s="253"/>
      <c r="H1015" s="254" t="s">
        <v>133</v>
      </c>
      <c r="I1015" s="255" t="s">
        <v>106</v>
      </c>
      <c r="K1015" s="247"/>
      <c r="L1015" s="247"/>
    </row>
    <row r="1016">
      <c r="A1016" s="248"/>
      <c r="D1016" s="251" t="s">
        <v>160</v>
      </c>
      <c r="E1016" s="251">
        <v>1.0</v>
      </c>
      <c r="F1016" s="306"/>
      <c r="G1016" s="306"/>
      <c r="H1016" s="254" t="s">
        <v>161</v>
      </c>
      <c r="I1016" s="287" t="s">
        <v>145</v>
      </c>
      <c r="K1016" s="247"/>
      <c r="L1016" s="247"/>
    </row>
    <row r="1017">
      <c r="A1017" s="259"/>
      <c r="B1017" s="260"/>
      <c r="C1017" s="260"/>
      <c r="D1017" s="277" t="s">
        <v>56</v>
      </c>
      <c r="E1017" s="277">
        <v>1.0</v>
      </c>
      <c r="F1017" s="315"/>
      <c r="G1017" s="316"/>
      <c r="H1017" s="280" t="s">
        <v>57</v>
      </c>
      <c r="I1017" s="281" t="s">
        <v>44</v>
      </c>
      <c r="K1017" s="247"/>
      <c r="L1017" s="247"/>
    </row>
    <row r="1018">
      <c r="A1018" s="261" t="s">
        <v>781</v>
      </c>
      <c r="B1018" s="262" t="s">
        <v>577</v>
      </c>
      <c r="C1018" s="263">
        <f>sum(E1018:E1020)</f>
        <v>6</v>
      </c>
      <c r="D1018" s="264" t="s">
        <v>163</v>
      </c>
      <c r="E1018" s="264">
        <v>2.0</v>
      </c>
      <c r="F1018" s="374"/>
      <c r="G1018" s="305"/>
      <c r="H1018" s="285" t="s">
        <v>165</v>
      </c>
      <c r="I1018" s="286" t="s">
        <v>164</v>
      </c>
      <c r="K1018" s="247"/>
      <c r="L1018" s="247"/>
    </row>
    <row r="1019">
      <c r="A1019" s="248"/>
      <c r="D1019" s="251" t="s">
        <v>65</v>
      </c>
      <c r="E1019" s="251">
        <v>3.0</v>
      </c>
      <c r="F1019" s="257"/>
      <c r="G1019" s="258"/>
      <c r="H1019" s="254" t="s">
        <v>284</v>
      </c>
      <c r="I1019" s="255" t="s">
        <v>66</v>
      </c>
      <c r="K1019" s="247"/>
      <c r="L1019" s="247"/>
    </row>
    <row r="1020">
      <c r="A1020" s="259"/>
      <c r="B1020" s="260"/>
      <c r="C1020" s="260"/>
      <c r="D1020" s="251" t="s">
        <v>121</v>
      </c>
      <c r="E1020" s="251">
        <v>1.0</v>
      </c>
      <c r="F1020" s="364"/>
      <c r="G1020" s="364"/>
      <c r="H1020" s="293" t="s">
        <v>328</v>
      </c>
      <c r="I1020" s="255" t="s">
        <v>106</v>
      </c>
      <c r="K1020" s="247"/>
      <c r="L1020" s="247"/>
    </row>
    <row r="1021">
      <c r="A1021" s="302" t="s">
        <v>782</v>
      </c>
      <c r="B1021" s="303" t="s">
        <v>783</v>
      </c>
      <c r="C1021" s="263">
        <f>sum(E1021:E1025)</f>
        <v>6</v>
      </c>
      <c r="D1021" s="481" t="s">
        <v>40</v>
      </c>
      <c r="E1021" s="482">
        <v>1.0</v>
      </c>
      <c r="F1021" s="483"/>
      <c r="G1021" s="484"/>
      <c r="H1021" s="484" t="s">
        <v>41</v>
      </c>
      <c r="I1021" s="692" t="s">
        <v>31</v>
      </c>
      <c r="J1021" s="305"/>
      <c r="K1021" s="693"/>
      <c r="L1021" s="693"/>
      <c r="M1021" s="305"/>
      <c r="N1021" s="305"/>
      <c r="O1021" s="305"/>
      <c r="P1021" s="305"/>
      <c r="Q1021" s="305"/>
      <c r="R1021" s="305"/>
      <c r="S1021" s="305"/>
      <c r="T1021" s="305"/>
      <c r="U1021" s="305"/>
      <c r="V1021" s="305"/>
      <c r="W1021" s="305"/>
      <c r="X1021" s="305"/>
      <c r="Y1021" s="305"/>
      <c r="Z1021" s="305"/>
      <c r="AA1021" s="305"/>
      <c r="AB1021" s="305"/>
      <c r="AC1021" s="694"/>
    </row>
    <row r="1022">
      <c r="A1022" s="248"/>
      <c r="D1022" s="622" t="s">
        <v>43</v>
      </c>
      <c r="E1022" s="622">
        <v>2.0</v>
      </c>
      <c r="F1022" s="623"/>
      <c r="G1022" s="622"/>
      <c r="H1022" s="624" t="s">
        <v>45</v>
      </c>
      <c r="I1022" s="695" t="s">
        <v>44</v>
      </c>
      <c r="K1022" s="247"/>
      <c r="L1022" s="247"/>
      <c r="AC1022" s="696"/>
    </row>
    <row r="1023">
      <c r="A1023" s="248"/>
      <c r="D1023" s="251" t="s">
        <v>173</v>
      </c>
      <c r="E1023" s="251">
        <v>1.0</v>
      </c>
      <c r="F1023" s="252"/>
      <c r="G1023" s="253"/>
      <c r="H1023" s="254" t="s">
        <v>422</v>
      </c>
      <c r="I1023" s="311" t="s">
        <v>164</v>
      </c>
      <c r="K1023" s="247"/>
      <c r="L1023" s="247"/>
      <c r="AC1023" s="696"/>
    </row>
    <row r="1024">
      <c r="A1024" s="248"/>
      <c r="D1024" s="474" t="s">
        <v>112</v>
      </c>
      <c r="E1024" s="474">
        <v>1.0</v>
      </c>
      <c r="F1024" s="105"/>
      <c r="G1024" s="103"/>
      <c r="H1024" s="103" t="s">
        <v>113</v>
      </c>
      <c r="I1024" s="105" t="s">
        <v>106</v>
      </c>
      <c r="K1024" s="247"/>
      <c r="L1024" s="247"/>
      <c r="AC1024" s="696"/>
    </row>
    <row r="1025">
      <c r="A1025" s="259"/>
      <c r="B1025" s="260"/>
      <c r="C1025" s="260"/>
      <c r="D1025" s="415" t="s">
        <v>124</v>
      </c>
      <c r="E1025" s="416">
        <v>1.0</v>
      </c>
      <c r="F1025" s="417"/>
      <c r="G1025" s="418"/>
      <c r="H1025" s="418" t="s">
        <v>125</v>
      </c>
      <c r="I1025" s="317" t="s">
        <v>106</v>
      </c>
      <c r="J1025" s="316"/>
      <c r="K1025" s="697"/>
      <c r="L1025" s="697"/>
      <c r="M1025" s="316"/>
      <c r="N1025" s="316"/>
      <c r="O1025" s="316"/>
      <c r="P1025" s="316"/>
      <c r="Q1025" s="316"/>
      <c r="R1025" s="316"/>
      <c r="S1025" s="316"/>
      <c r="T1025" s="316"/>
      <c r="U1025" s="316"/>
      <c r="V1025" s="316"/>
      <c r="W1025" s="316"/>
      <c r="X1025" s="316"/>
      <c r="Y1025" s="316"/>
      <c r="Z1025" s="316"/>
      <c r="AA1025" s="316"/>
      <c r="AB1025" s="316"/>
      <c r="AC1025" s="698"/>
    </row>
    <row r="1026">
      <c r="A1026" s="326" t="s">
        <v>784</v>
      </c>
      <c r="B1026" s="327" t="s">
        <v>528</v>
      </c>
      <c r="C1026" s="460">
        <f>sum(E1026:E1028)</f>
        <v>6</v>
      </c>
      <c r="D1026" s="251" t="s">
        <v>291</v>
      </c>
      <c r="E1026" s="251">
        <v>2.0</v>
      </c>
      <c r="F1026" s="257"/>
      <c r="G1026" s="258"/>
      <c r="H1026" s="254" t="s">
        <v>284</v>
      </c>
      <c r="I1026" s="255" t="s">
        <v>66</v>
      </c>
      <c r="K1026" s="247"/>
      <c r="L1026" s="247"/>
    </row>
    <row r="1027">
      <c r="A1027" s="248"/>
      <c r="D1027" s="306" t="s">
        <v>98</v>
      </c>
      <c r="E1027" s="306">
        <v>2.0</v>
      </c>
      <c r="F1027" s="274"/>
      <c r="G1027" s="274"/>
      <c r="H1027" s="275" t="s">
        <v>100</v>
      </c>
      <c r="I1027" s="255" t="s">
        <v>99</v>
      </c>
      <c r="K1027" s="247"/>
      <c r="L1027" s="247"/>
    </row>
    <row r="1028">
      <c r="A1028" s="259"/>
      <c r="B1028" s="260"/>
      <c r="C1028" s="260"/>
      <c r="D1028" s="277" t="s">
        <v>163</v>
      </c>
      <c r="E1028" s="277">
        <v>2.0</v>
      </c>
      <c r="F1028" s="365"/>
      <c r="G1028" s="315"/>
      <c r="H1028" s="466" t="s">
        <v>165</v>
      </c>
      <c r="I1028" s="281" t="s">
        <v>164</v>
      </c>
      <c r="K1028" s="247"/>
      <c r="L1028" s="247"/>
    </row>
    <row r="1029">
      <c r="A1029" s="261" t="s">
        <v>785</v>
      </c>
      <c r="B1029" s="262" t="s">
        <v>786</v>
      </c>
      <c r="C1029" s="263">
        <f>sum(E1029:E1031)</f>
        <v>6</v>
      </c>
      <c r="D1029" s="264" t="s">
        <v>23</v>
      </c>
      <c r="E1029" s="264">
        <v>2.0</v>
      </c>
      <c r="F1029" s="374"/>
      <c r="G1029" s="305"/>
      <c r="H1029" s="285" t="s">
        <v>308</v>
      </c>
      <c r="I1029" s="286" t="s">
        <v>24</v>
      </c>
      <c r="K1029" s="247"/>
      <c r="L1029" s="247"/>
    </row>
    <row r="1030">
      <c r="A1030" s="248"/>
      <c r="D1030" s="251" t="s">
        <v>50</v>
      </c>
      <c r="E1030" s="251">
        <v>2.0</v>
      </c>
      <c r="F1030" s="252"/>
      <c r="G1030" s="253"/>
      <c r="H1030" s="254" t="s">
        <v>51</v>
      </c>
      <c r="I1030" s="255" t="s">
        <v>44</v>
      </c>
      <c r="K1030" s="247"/>
      <c r="L1030" s="247"/>
    </row>
    <row r="1031">
      <c r="A1031" s="259"/>
      <c r="B1031" s="260"/>
      <c r="C1031" s="260"/>
      <c r="D1031" s="277" t="s">
        <v>163</v>
      </c>
      <c r="E1031" s="277">
        <v>2.0</v>
      </c>
      <c r="F1031" s="365"/>
      <c r="G1031" s="316"/>
      <c r="H1031" s="280" t="s">
        <v>165</v>
      </c>
      <c r="I1031" s="281" t="s">
        <v>164</v>
      </c>
      <c r="K1031" s="247"/>
      <c r="L1031" s="247"/>
    </row>
    <row r="1032">
      <c r="A1032" s="261" t="s">
        <v>787</v>
      </c>
      <c r="B1032" s="303" t="s">
        <v>788</v>
      </c>
      <c r="C1032" s="263">
        <f>sum(E1032:E1035)</f>
        <v>6</v>
      </c>
      <c r="D1032" s="264" t="s">
        <v>23</v>
      </c>
      <c r="E1032" s="264">
        <v>2.0</v>
      </c>
      <c r="F1032" s="374"/>
      <c r="G1032" s="305"/>
      <c r="H1032" s="285" t="s">
        <v>308</v>
      </c>
      <c r="I1032" s="286" t="s">
        <v>24</v>
      </c>
      <c r="K1032" s="247"/>
      <c r="L1032" s="247"/>
    </row>
    <row r="1033">
      <c r="A1033" s="248"/>
      <c r="D1033" s="251" t="s">
        <v>291</v>
      </c>
      <c r="E1033" s="251">
        <v>2.0</v>
      </c>
      <c r="F1033" s="257"/>
      <c r="G1033" s="258"/>
      <c r="H1033" s="254" t="s">
        <v>284</v>
      </c>
      <c r="I1033" s="255" t="s">
        <v>66</v>
      </c>
      <c r="K1033" s="247"/>
      <c r="L1033" s="247"/>
    </row>
    <row r="1034">
      <c r="A1034" s="248"/>
      <c r="D1034" s="353" t="s">
        <v>130</v>
      </c>
      <c r="E1034" s="353">
        <v>1.0</v>
      </c>
      <c r="F1034" s="105"/>
      <c r="G1034" s="106"/>
      <c r="H1034" s="354" t="s">
        <v>131</v>
      </c>
      <c r="I1034" s="355" t="s">
        <v>106</v>
      </c>
      <c r="K1034" s="247"/>
      <c r="L1034" s="247"/>
    </row>
    <row r="1035">
      <c r="A1035" s="259"/>
      <c r="B1035" s="260"/>
      <c r="C1035" s="260"/>
      <c r="D1035" s="477" t="s">
        <v>170</v>
      </c>
      <c r="E1035" s="477">
        <v>1.0</v>
      </c>
      <c r="F1035" s="478"/>
      <c r="G1035" s="479"/>
      <c r="H1035" s="479" t="s">
        <v>171</v>
      </c>
      <c r="I1035" s="480" t="s">
        <v>164</v>
      </c>
      <c r="K1035" s="247"/>
      <c r="L1035" s="247"/>
    </row>
    <row r="1036">
      <c r="A1036" s="261" t="s">
        <v>789</v>
      </c>
      <c r="B1036" s="476" t="s">
        <v>790</v>
      </c>
      <c r="C1036" s="263">
        <f>sum(E1036:E1039)</f>
        <v>6</v>
      </c>
      <c r="D1036" s="264" t="s">
        <v>12</v>
      </c>
      <c r="E1036" s="264">
        <v>2.0</v>
      </c>
      <c r="F1036" s="406"/>
      <c r="G1036" s="406"/>
      <c r="H1036" s="266" t="s">
        <v>349</v>
      </c>
      <c r="I1036" s="286" t="s">
        <v>8</v>
      </c>
    </row>
    <row r="1037">
      <c r="A1037" s="248"/>
      <c r="D1037" s="251" t="s">
        <v>291</v>
      </c>
      <c r="E1037" s="251">
        <v>2.0</v>
      </c>
      <c r="F1037" s="257"/>
      <c r="G1037" s="258"/>
      <c r="H1037" s="254" t="s">
        <v>284</v>
      </c>
      <c r="I1037" s="255" t="s">
        <v>66</v>
      </c>
    </row>
    <row r="1038">
      <c r="A1038" s="248"/>
      <c r="D1038" s="251" t="s">
        <v>118</v>
      </c>
      <c r="E1038" s="251">
        <v>1.0</v>
      </c>
      <c r="F1038" s="253"/>
      <c r="G1038" s="253"/>
      <c r="H1038" s="254" t="s">
        <v>323</v>
      </c>
      <c r="I1038" s="255" t="s">
        <v>106</v>
      </c>
    </row>
    <row r="1039">
      <c r="A1039" s="259"/>
      <c r="B1039" s="260"/>
      <c r="C1039" s="260"/>
      <c r="D1039" s="299" t="s">
        <v>62</v>
      </c>
      <c r="E1039" s="299">
        <v>1.0</v>
      </c>
      <c r="F1039" s="372"/>
      <c r="G1039" s="372"/>
      <c r="H1039" s="373" t="s">
        <v>63</v>
      </c>
      <c r="I1039" s="281" t="s">
        <v>44</v>
      </c>
    </row>
    <row r="1040">
      <c r="A1040" s="261" t="s">
        <v>791</v>
      </c>
      <c r="B1040" s="341" t="s">
        <v>543</v>
      </c>
      <c r="C1040" s="263">
        <f>sum(E1040:E1042)</f>
        <v>6</v>
      </c>
      <c r="D1040" s="319" t="s">
        <v>77</v>
      </c>
      <c r="E1040" s="319">
        <v>2.0</v>
      </c>
      <c r="F1040" s="63"/>
      <c r="G1040" s="64"/>
      <c r="H1040" s="64" t="s">
        <v>78</v>
      </c>
      <c r="I1040" s="320" t="s">
        <v>66</v>
      </c>
      <c r="K1040" s="247"/>
      <c r="L1040" s="247"/>
    </row>
    <row r="1041">
      <c r="A1041" s="248"/>
      <c r="D1041" s="251" t="s">
        <v>148</v>
      </c>
      <c r="E1041" s="251">
        <v>3.0</v>
      </c>
      <c r="F1041" s="306"/>
      <c r="G1041" s="306"/>
      <c r="H1041" s="293" t="s">
        <v>146</v>
      </c>
      <c r="I1041" s="287" t="s">
        <v>145</v>
      </c>
      <c r="K1041" s="247"/>
      <c r="L1041" s="247"/>
    </row>
    <row r="1042">
      <c r="A1042" s="259"/>
      <c r="B1042" s="260"/>
      <c r="C1042" s="260"/>
      <c r="D1042" s="288" t="s">
        <v>190</v>
      </c>
      <c r="E1042" s="289">
        <v>1.0</v>
      </c>
      <c r="F1042" s="12"/>
      <c r="G1042" s="290"/>
      <c r="H1042" s="291" t="s">
        <v>191</v>
      </c>
      <c r="I1042" s="292" t="s">
        <v>187</v>
      </c>
      <c r="K1042" s="247"/>
      <c r="L1042" s="247"/>
    </row>
    <row r="1043">
      <c r="A1043" s="261" t="s">
        <v>792</v>
      </c>
      <c r="B1043" s="476" t="s">
        <v>793</v>
      </c>
      <c r="C1043" s="263">
        <f>sum(E1043:E1046)</f>
        <v>6</v>
      </c>
      <c r="D1043" s="264" t="s">
        <v>56</v>
      </c>
      <c r="E1043" s="264">
        <v>1.0</v>
      </c>
      <c r="F1043" s="330"/>
      <c r="G1043" s="305"/>
      <c r="H1043" s="285" t="s">
        <v>57</v>
      </c>
      <c r="I1043" s="286" t="s">
        <v>44</v>
      </c>
    </row>
    <row r="1044">
      <c r="A1044" s="248"/>
      <c r="D1044" s="295" t="s">
        <v>80</v>
      </c>
      <c r="E1044" s="295">
        <v>2.0</v>
      </c>
      <c r="F1044" s="70"/>
      <c r="G1044" s="72"/>
      <c r="H1044" s="296" t="s">
        <v>81</v>
      </c>
      <c r="I1044" s="297" t="s">
        <v>66</v>
      </c>
    </row>
    <row r="1045">
      <c r="A1045" s="248"/>
      <c r="D1045" s="251" t="s">
        <v>163</v>
      </c>
      <c r="E1045" s="251">
        <v>2.0</v>
      </c>
      <c r="F1045" s="256"/>
      <c r="G1045" s="253"/>
      <c r="H1045" s="254" t="s">
        <v>165</v>
      </c>
      <c r="I1045" s="255" t="s">
        <v>164</v>
      </c>
    </row>
    <row r="1046">
      <c r="A1046" s="259"/>
      <c r="B1046" s="260"/>
      <c r="C1046" s="260"/>
      <c r="D1046" s="415" t="s">
        <v>124</v>
      </c>
      <c r="E1046" s="416">
        <v>1.0</v>
      </c>
      <c r="F1046" s="417"/>
      <c r="G1046" s="418"/>
      <c r="H1046" s="418" t="s">
        <v>125</v>
      </c>
      <c r="I1046" s="281" t="s">
        <v>106</v>
      </c>
    </row>
    <row r="1047">
      <c r="A1047" s="261" t="s">
        <v>794</v>
      </c>
      <c r="B1047" s="476" t="s">
        <v>795</v>
      </c>
      <c r="C1047" s="263">
        <f>sum(E1047:E1051)</f>
        <v>6</v>
      </c>
      <c r="D1047" s="264" t="s">
        <v>23</v>
      </c>
      <c r="E1047" s="264">
        <v>2.0</v>
      </c>
      <c r="F1047" s="374"/>
      <c r="G1047" s="305"/>
      <c r="H1047" s="285" t="s">
        <v>308</v>
      </c>
      <c r="I1047" s="286" t="s">
        <v>24</v>
      </c>
    </row>
    <row r="1048">
      <c r="A1048" s="248"/>
      <c r="D1048" s="586" t="s">
        <v>92</v>
      </c>
      <c r="E1048" s="586">
        <v>1.0</v>
      </c>
      <c r="F1048" s="699"/>
      <c r="G1048" s="700"/>
      <c r="H1048" s="701" t="s">
        <v>93</v>
      </c>
      <c r="I1048" s="297" t="s">
        <v>66</v>
      </c>
    </row>
    <row r="1049">
      <c r="A1049" s="248"/>
      <c r="D1049" s="251" t="s">
        <v>59</v>
      </c>
      <c r="E1049" s="251">
        <v>1.0</v>
      </c>
      <c r="F1049" s="251"/>
      <c r="G1049" s="251"/>
      <c r="H1049" s="293" t="s">
        <v>60</v>
      </c>
      <c r="I1049" s="255" t="s">
        <v>44</v>
      </c>
    </row>
    <row r="1050">
      <c r="A1050" s="248"/>
      <c r="D1050" s="361" t="s">
        <v>138</v>
      </c>
      <c r="E1050" s="362">
        <v>1.0</v>
      </c>
      <c r="F1050" s="105"/>
      <c r="G1050" s="114"/>
      <c r="H1050" s="363" t="s">
        <v>139</v>
      </c>
      <c r="I1050" s="355" t="s">
        <v>106</v>
      </c>
    </row>
    <row r="1051">
      <c r="A1051" s="259"/>
      <c r="B1051" s="260"/>
      <c r="C1051" s="260"/>
      <c r="D1051" s="277" t="s">
        <v>141</v>
      </c>
      <c r="E1051" s="277">
        <v>1.0</v>
      </c>
      <c r="F1051" s="308"/>
      <c r="G1051" s="308"/>
      <c r="H1051" s="300" t="s">
        <v>142</v>
      </c>
      <c r="I1051" s="281" t="s">
        <v>106</v>
      </c>
    </row>
    <row r="1052">
      <c r="A1052" s="302" t="s">
        <v>796</v>
      </c>
      <c r="B1052" s="476" t="s">
        <v>545</v>
      </c>
      <c r="C1052" s="263">
        <f>sum(E1052:E1054)</f>
        <v>6</v>
      </c>
      <c r="D1052" s="440" t="s">
        <v>102</v>
      </c>
      <c r="E1052" s="441">
        <v>2.0</v>
      </c>
      <c r="F1052" s="442"/>
      <c r="G1052" s="443"/>
      <c r="H1052" s="443" t="s">
        <v>103</v>
      </c>
      <c r="I1052" s="444" t="s">
        <v>99</v>
      </c>
    </row>
    <row r="1053">
      <c r="A1053" s="248"/>
      <c r="D1053" s="295" t="s">
        <v>71</v>
      </c>
      <c r="E1053" s="295">
        <v>2.0</v>
      </c>
      <c r="F1053" s="70"/>
      <c r="G1053" s="72"/>
      <c r="H1053" s="296" t="s">
        <v>72</v>
      </c>
      <c r="I1053" s="297" t="s">
        <v>66</v>
      </c>
    </row>
    <row r="1054">
      <c r="A1054" s="259"/>
      <c r="B1054" s="260"/>
      <c r="C1054" s="260"/>
      <c r="D1054" s="277" t="s">
        <v>163</v>
      </c>
      <c r="E1054" s="277">
        <v>2.0</v>
      </c>
      <c r="F1054" s="365"/>
      <c r="G1054" s="316"/>
      <c r="H1054" s="280" t="s">
        <v>165</v>
      </c>
      <c r="I1054" s="281" t="s">
        <v>164</v>
      </c>
    </row>
    <row r="1055">
      <c r="A1055" s="302" t="s">
        <v>797</v>
      </c>
      <c r="B1055" s="476" t="s">
        <v>472</v>
      </c>
      <c r="C1055" s="263">
        <f>sum(E1055:E1058)</f>
        <v>6</v>
      </c>
      <c r="D1055" s="264" t="s">
        <v>50</v>
      </c>
      <c r="E1055" s="264">
        <v>2.0</v>
      </c>
      <c r="F1055" s="330"/>
      <c r="G1055" s="305"/>
      <c r="H1055" s="285" t="s">
        <v>51</v>
      </c>
      <c r="I1055" s="286" t="s">
        <v>44</v>
      </c>
    </row>
    <row r="1056">
      <c r="A1056" s="248"/>
      <c r="D1056" s="251" t="s">
        <v>163</v>
      </c>
      <c r="E1056" s="251">
        <v>2.0</v>
      </c>
      <c r="F1056" s="256"/>
      <c r="G1056" s="252"/>
      <c r="H1056" s="294" t="s">
        <v>165</v>
      </c>
      <c r="I1056" s="255" t="s">
        <v>164</v>
      </c>
    </row>
    <row r="1057">
      <c r="A1057" s="248"/>
      <c r="D1057" s="251" t="s">
        <v>135</v>
      </c>
      <c r="E1057" s="251">
        <v>1.0</v>
      </c>
      <c r="F1057" s="252"/>
      <c r="G1057" s="253"/>
      <c r="H1057" s="254" t="s">
        <v>136</v>
      </c>
      <c r="I1057" s="255" t="s">
        <v>106</v>
      </c>
    </row>
    <row r="1058">
      <c r="A1058" s="259"/>
      <c r="B1058" s="260"/>
      <c r="C1058" s="260"/>
      <c r="D1058" s="394" t="s">
        <v>121</v>
      </c>
      <c r="E1058" s="394">
        <v>1.0</v>
      </c>
      <c r="F1058" s="395"/>
      <c r="G1058" s="372"/>
      <c r="H1058" s="373" t="s">
        <v>122</v>
      </c>
      <c r="I1058" s="396" t="s">
        <v>106</v>
      </c>
    </row>
    <row r="1059">
      <c r="A1059" s="302" t="s">
        <v>798</v>
      </c>
      <c r="B1059" s="476" t="s">
        <v>799</v>
      </c>
      <c r="C1059" s="263">
        <f>sum(E1059:E1062)</f>
        <v>6</v>
      </c>
      <c r="D1059" s="264" t="s">
        <v>135</v>
      </c>
      <c r="E1059" s="264">
        <v>1.0</v>
      </c>
      <c r="F1059" s="330"/>
      <c r="G1059" s="305"/>
      <c r="H1059" s="285" t="s">
        <v>136</v>
      </c>
      <c r="I1059" s="286" t="s">
        <v>106</v>
      </c>
    </row>
    <row r="1060">
      <c r="A1060" s="248"/>
      <c r="D1060" s="334" t="s">
        <v>40</v>
      </c>
      <c r="E1060" s="335">
        <v>1.0</v>
      </c>
      <c r="F1060" s="39"/>
      <c r="G1060" s="41"/>
      <c r="H1060" s="41" t="s">
        <v>41</v>
      </c>
      <c r="I1060" s="336" t="s">
        <v>31</v>
      </c>
    </row>
    <row r="1061">
      <c r="A1061" s="248"/>
      <c r="D1061" s="251" t="s">
        <v>163</v>
      </c>
      <c r="E1061" s="251">
        <v>2.0</v>
      </c>
      <c r="F1061" s="256"/>
      <c r="G1061" s="252"/>
      <c r="H1061" s="294" t="s">
        <v>165</v>
      </c>
      <c r="I1061" s="255" t="s">
        <v>164</v>
      </c>
    </row>
    <row r="1062">
      <c r="A1062" s="259"/>
      <c r="B1062" s="260"/>
      <c r="C1062" s="260"/>
      <c r="D1062" s="277" t="s">
        <v>800</v>
      </c>
      <c r="E1062" s="277">
        <v>2.0</v>
      </c>
      <c r="F1062" s="315"/>
      <c r="G1062" s="316"/>
      <c r="H1062" s="702" t="s">
        <v>801</v>
      </c>
      <c r="I1062" s="281" t="s">
        <v>106</v>
      </c>
    </row>
    <row r="1063">
      <c r="A1063" s="302" t="s">
        <v>802</v>
      </c>
      <c r="B1063" s="476" t="s">
        <v>803</v>
      </c>
      <c r="C1063" s="263">
        <f>sum(E1063:E1065)</f>
        <v>6</v>
      </c>
      <c r="D1063" s="264" t="s">
        <v>65</v>
      </c>
      <c r="E1063" s="264">
        <v>3.0</v>
      </c>
      <c r="F1063" s="283"/>
      <c r="G1063" s="284"/>
      <c r="H1063" s="285" t="s">
        <v>284</v>
      </c>
      <c r="I1063" s="286" t="s">
        <v>66</v>
      </c>
    </row>
    <row r="1064">
      <c r="A1064" s="248"/>
      <c r="D1064" s="251" t="s">
        <v>12</v>
      </c>
      <c r="E1064" s="251">
        <v>2.0</v>
      </c>
      <c r="F1064" s="364"/>
      <c r="G1064" s="364"/>
      <c r="H1064" s="293" t="s">
        <v>349</v>
      </c>
      <c r="I1064" s="255" t="s">
        <v>8</v>
      </c>
    </row>
    <row r="1065">
      <c r="A1065" s="259"/>
      <c r="B1065" s="260"/>
      <c r="C1065" s="260"/>
      <c r="D1065" s="277" t="s">
        <v>118</v>
      </c>
      <c r="E1065" s="277">
        <v>1.0</v>
      </c>
      <c r="F1065" s="316"/>
      <c r="G1065" s="316"/>
      <c r="H1065" s="280" t="s">
        <v>323</v>
      </c>
      <c r="I1065" s="281" t="s">
        <v>106</v>
      </c>
    </row>
    <row r="1066">
      <c r="A1066" s="302" t="s">
        <v>804</v>
      </c>
      <c r="B1066" s="476" t="s">
        <v>303</v>
      </c>
      <c r="C1066" s="263">
        <f>sum(E1066:E1068)</f>
        <v>6</v>
      </c>
      <c r="D1066" s="264" t="s">
        <v>50</v>
      </c>
      <c r="E1066" s="264">
        <v>2.0</v>
      </c>
      <c r="F1066" s="330"/>
      <c r="G1066" s="305"/>
      <c r="H1066" s="285" t="s">
        <v>51</v>
      </c>
      <c r="I1066" s="286" t="s">
        <v>44</v>
      </c>
    </row>
    <row r="1067">
      <c r="A1067" s="248"/>
      <c r="D1067" s="273" t="s">
        <v>121</v>
      </c>
      <c r="E1067" s="273">
        <v>1.0</v>
      </c>
      <c r="F1067" s="3"/>
      <c r="G1067" s="274"/>
      <c r="H1067" s="275" t="s">
        <v>122</v>
      </c>
      <c r="I1067" s="276" t="s">
        <v>106</v>
      </c>
    </row>
    <row r="1068">
      <c r="A1068" s="259"/>
      <c r="B1068" s="260"/>
      <c r="C1068" s="260"/>
      <c r="D1068" s="277" t="s">
        <v>805</v>
      </c>
      <c r="E1068" s="277">
        <v>3.0</v>
      </c>
      <c r="F1068" s="315"/>
      <c r="G1068" s="316"/>
      <c r="H1068" s="280" t="s">
        <v>806</v>
      </c>
      <c r="I1068" s="396" t="s">
        <v>106</v>
      </c>
    </row>
    <row r="1069">
      <c r="A1069" s="302" t="s">
        <v>807</v>
      </c>
      <c r="B1069" s="476" t="s">
        <v>808</v>
      </c>
      <c r="C1069" s="263">
        <f>sum(E1069:E1071)</f>
        <v>6</v>
      </c>
      <c r="D1069" s="264" t="s">
        <v>331</v>
      </c>
      <c r="E1069" s="264">
        <v>2.0</v>
      </c>
      <c r="F1069" s="330"/>
      <c r="G1069" s="305"/>
      <c r="H1069" s="285" t="s">
        <v>332</v>
      </c>
      <c r="I1069" s="286" t="s">
        <v>8</v>
      </c>
    </row>
    <row r="1070">
      <c r="A1070" s="248"/>
      <c r="D1070" s="251" t="s">
        <v>291</v>
      </c>
      <c r="E1070" s="251">
        <v>2.0</v>
      </c>
      <c r="F1070" s="257"/>
      <c r="G1070" s="258"/>
      <c r="H1070" s="254" t="s">
        <v>284</v>
      </c>
      <c r="I1070" s="255" t="s">
        <v>66</v>
      </c>
    </row>
    <row r="1071">
      <c r="A1071" s="259"/>
      <c r="B1071" s="260"/>
      <c r="C1071" s="260"/>
      <c r="D1071" s="277" t="s">
        <v>163</v>
      </c>
      <c r="E1071" s="277">
        <v>2.0</v>
      </c>
      <c r="F1071" s="365"/>
      <c r="G1071" s="316"/>
      <c r="H1071" s="280" t="s">
        <v>165</v>
      </c>
      <c r="I1071" s="281" t="s">
        <v>164</v>
      </c>
    </row>
    <row r="1072">
      <c r="A1072" s="366" t="s">
        <v>809</v>
      </c>
      <c r="B1072" s="329" t="s">
        <v>810</v>
      </c>
      <c r="C1072" s="282">
        <f>sum(E1072:E1074)</f>
        <v>5</v>
      </c>
      <c r="D1072" s="264" t="s">
        <v>12</v>
      </c>
      <c r="E1072" s="264">
        <v>2.0</v>
      </c>
      <c r="F1072" s="330"/>
      <c r="G1072" s="305"/>
      <c r="H1072" s="285" t="s">
        <v>349</v>
      </c>
      <c r="I1072" s="286" t="s">
        <v>8</v>
      </c>
      <c r="K1072" s="247"/>
      <c r="L1072" s="247"/>
    </row>
    <row r="1073">
      <c r="A1073" s="248"/>
      <c r="D1073" s="306" t="s">
        <v>98</v>
      </c>
      <c r="E1073" s="306">
        <v>2.0</v>
      </c>
      <c r="F1073" s="274"/>
      <c r="G1073" s="274"/>
      <c r="H1073" s="275" t="s">
        <v>100</v>
      </c>
      <c r="I1073" s="255" t="s">
        <v>99</v>
      </c>
      <c r="K1073" s="247"/>
      <c r="L1073" s="247"/>
    </row>
    <row r="1074">
      <c r="A1074" s="259"/>
      <c r="B1074" s="260"/>
      <c r="C1074" s="260"/>
      <c r="D1074" s="299" t="s">
        <v>62</v>
      </c>
      <c r="E1074" s="299">
        <v>1.0</v>
      </c>
      <c r="F1074" s="372"/>
      <c r="G1074" s="372"/>
      <c r="H1074" s="373" t="s">
        <v>63</v>
      </c>
      <c r="I1074" s="281" t="s">
        <v>44</v>
      </c>
      <c r="K1074" s="247"/>
      <c r="L1074" s="247"/>
    </row>
    <row r="1075">
      <c r="A1075" s="519" t="s">
        <v>811</v>
      </c>
      <c r="B1075" s="262" t="s">
        <v>812</v>
      </c>
      <c r="C1075" s="282">
        <f>sum(E1075:E1077)</f>
        <v>5</v>
      </c>
      <c r="D1075" s="264" t="s">
        <v>160</v>
      </c>
      <c r="E1075" s="264">
        <v>1.0</v>
      </c>
      <c r="F1075" s="265"/>
      <c r="G1075" s="265"/>
      <c r="H1075" s="285" t="s">
        <v>161</v>
      </c>
      <c r="I1075" s="267" t="s">
        <v>145</v>
      </c>
      <c r="K1075" s="247"/>
      <c r="L1075" s="247"/>
    </row>
    <row r="1076">
      <c r="A1076" s="248"/>
      <c r="D1076" s="251" t="s">
        <v>163</v>
      </c>
      <c r="E1076" s="251">
        <v>2.0</v>
      </c>
      <c r="F1076" s="256"/>
      <c r="G1076" s="253"/>
      <c r="H1076" s="254" t="s">
        <v>165</v>
      </c>
      <c r="I1076" s="255" t="s">
        <v>164</v>
      </c>
      <c r="K1076" s="247"/>
      <c r="L1076" s="247"/>
    </row>
    <row r="1077">
      <c r="A1077" s="259"/>
      <c r="B1077" s="260"/>
      <c r="C1077" s="260"/>
      <c r="D1077" s="277" t="s">
        <v>105</v>
      </c>
      <c r="E1077" s="277">
        <v>2.0</v>
      </c>
      <c r="F1077" s="308"/>
      <c r="G1077" s="308"/>
      <c r="H1077" s="300" t="s">
        <v>107</v>
      </c>
      <c r="I1077" s="281" t="s">
        <v>106</v>
      </c>
      <c r="K1077" s="247"/>
      <c r="L1077" s="247"/>
    </row>
    <row r="1078">
      <c r="A1078" s="261" t="s">
        <v>813</v>
      </c>
      <c r="B1078" s="262" t="s">
        <v>814</v>
      </c>
      <c r="C1078" s="282">
        <f>sum(E1078:E1080)</f>
        <v>5</v>
      </c>
      <c r="D1078" s="649" t="s">
        <v>92</v>
      </c>
      <c r="E1078" s="649">
        <v>1.0</v>
      </c>
      <c r="F1078" s="650"/>
      <c r="G1078" s="651"/>
      <c r="H1078" s="652" t="s">
        <v>93</v>
      </c>
      <c r="I1078" s="511" t="s">
        <v>66</v>
      </c>
      <c r="K1078" s="247"/>
      <c r="L1078" s="247"/>
    </row>
    <row r="1079">
      <c r="A1079" s="248"/>
      <c r="D1079" s="251" t="s">
        <v>163</v>
      </c>
      <c r="E1079" s="251">
        <v>2.0</v>
      </c>
      <c r="F1079" s="703"/>
      <c r="G1079" s="704"/>
      <c r="H1079" s="293" t="s">
        <v>165</v>
      </c>
      <c r="I1079" s="255" t="s">
        <v>164</v>
      </c>
      <c r="K1079" s="247"/>
      <c r="L1079" s="247"/>
    </row>
    <row r="1080">
      <c r="A1080" s="259"/>
      <c r="B1080" s="260"/>
      <c r="C1080" s="260"/>
      <c r="D1080" s="251" t="s">
        <v>23</v>
      </c>
      <c r="E1080" s="251">
        <v>2.0</v>
      </c>
      <c r="F1080" s="703"/>
      <c r="G1080" s="705"/>
      <c r="H1080" s="293" t="s">
        <v>308</v>
      </c>
      <c r="I1080" s="255" t="s">
        <v>24</v>
      </c>
      <c r="K1080" s="247"/>
      <c r="L1080" s="247"/>
    </row>
    <row r="1081">
      <c r="A1081" s="328" t="s">
        <v>815</v>
      </c>
      <c r="B1081" s="262" t="s">
        <v>816</v>
      </c>
      <c r="C1081" s="282">
        <f>sum(E1081:E1083)</f>
        <v>5</v>
      </c>
      <c r="D1081" s="264" t="s">
        <v>105</v>
      </c>
      <c r="E1081" s="264">
        <v>2.0</v>
      </c>
      <c r="F1081" s="406"/>
      <c r="G1081" s="406"/>
      <c r="H1081" s="266" t="s">
        <v>107</v>
      </c>
      <c r="I1081" s="286" t="s">
        <v>106</v>
      </c>
      <c r="J1081" s="310"/>
      <c r="K1081" s="247"/>
      <c r="L1081" s="247"/>
    </row>
    <row r="1082">
      <c r="A1082" s="248"/>
      <c r="D1082" s="251" t="s">
        <v>23</v>
      </c>
      <c r="E1082" s="251">
        <v>2.0</v>
      </c>
      <c r="F1082" s="351"/>
      <c r="G1082" s="352"/>
      <c r="H1082" s="293" t="s">
        <v>308</v>
      </c>
      <c r="I1082" s="255" t="s">
        <v>24</v>
      </c>
      <c r="J1082" s="310"/>
      <c r="K1082" s="247"/>
      <c r="L1082" s="247"/>
    </row>
    <row r="1083">
      <c r="A1083" s="259"/>
      <c r="B1083" s="260"/>
      <c r="C1083" s="260"/>
      <c r="D1083" s="277" t="s">
        <v>135</v>
      </c>
      <c r="E1083" s="277">
        <v>1.0</v>
      </c>
      <c r="F1083" s="315"/>
      <c r="G1083" s="316"/>
      <c r="H1083" s="280" t="s">
        <v>136</v>
      </c>
      <c r="I1083" s="281" t="s">
        <v>106</v>
      </c>
      <c r="J1083" s="310"/>
      <c r="K1083" s="247"/>
      <c r="L1083" s="247"/>
    </row>
    <row r="1084">
      <c r="A1084" s="328" t="s">
        <v>817</v>
      </c>
      <c r="B1084" s="262" t="s">
        <v>412</v>
      </c>
      <c r="C1084" s="263">
        <f>sum(E1084:E1087)</f>
        <v>5</v>
      </c>
      <c r="D1084" s="553" t="s">
        <v>89</v>
      </c>
      <c r="E1084" s="553">
        <v>1.0</v>
      </c>
      <c r="F1084" s="518"/>
      <c r="G1084" s="332"/>
      <c r="H1084" s="333" t="s">
        <v>90</v>
      </c>
      <c r="I1084" s="554" t="s">
        <v>66</v>
      </c>
      <c r="K1084" s="247"/>
      <c r="L1084" s="247"/>
    </row>
    <row r="1085">
      <c r="A1085" s="248"/>
      <c r="D1085" s="321" t="s">
        <v>102</v>
      </c>
      <c r="E1085" s="322">
        <v>2.0</v>
      </c>
      <c r="F1085" s="323"/>
      <c r="G1085" s="324"/>
      <c r="H1085" s="324" t="s">
        <v>103</v>
      </c>
      <c r="I1085" s="325" t="s">
        <v>99</v>
      </c>
      <c r="K1085" s="247"/>
      <c r="L1085" s="247"/>
    </row>
    <row r="1086">
      <c r="A1086" s="248"/>
      <c r="D1086" s="557" t="s">
        <v>170</v>
      </c>
      <c r="E1086" s="557">
        <v>1.0</v>
      </c>
      <c r="F1086" s="151"/>
      <c r="G1086" s="152"/>
      <c r="H1086" s="152" t="s">
        <v>171</v>
      </c>
      <c r="I1086" s="558" t="s">
        <v>164</v>
      </c>
      <c r="K1086" s="247"/>
      <c r="L1086" s="247"/>
    </row>
    <row r="1087">
      <c r="A1087" s="259"/>
      <c r="B1087" s="260"/>
      <c r="C1087" s="260"/>
      <c r="D1087" s="251" t="s">
        <v>135</v>
      </c>
      <c r="E1087" s="251">
        <v>1.0</v>
      </c>
      <c r="F1087" s="252"/>
      <c r="G1087" s="253"/>
      <c r="H1087" s="254" t="s">
        <v>136</v>
      </c>
      <c r="I1087" s="255" t="s">
        <v>106</v>
      </c>
      <c r="K1087" s="247"/>
      <c r="L1087" s="247"/>
    </row>
    <row r="1088">
      <c r="A1088" s="328" t="s">
        <v>818</v>
      </c>
      <c r="B1088" s="303" t="s">
        <v>819</v>
      </c>
      <c r="C1088" s="263">
        <f>sum(E1088:E1090)</f>
        <v>5</v>
      </c>
      <c r="D1088" s="265" t="s">
        <v>98</v>
      </c>
      <c r="E1088" s="265">
        <v>2.0</v>
      </c>
      <c r="F1088" s="332"/>
      <c r="G1088" s="332"/>
      <c r="H1088" s="333" t="s">
        <v>100</v>
      </c>
      <c r="I1088" s="286" t="s">
        <v>99</v>
      </c>
      <c r="K1088" s="247"/>
      <c r="L1088" s="247"/>
    </row>
    <row r="1089">
      <c r="A1089" s="248"/>
      <c r="D1089" s="251" t="s">
        <v>163</v>
      </c>
      <c r="E1089" s="251">
        <v>2.0</v>
      </c>
      <c r="F1089" s="256"/>
      <c r="G1089" s="253"/>
      <c r="H1089" s="254" t="s">
        <v>165</v>
      </c>
      <c r="I1089" s="255" t="s">
        <v>164</v>
      </c>
      <c r="K1089" s="247"/>
      <c r="L1089" s="247"/>
    </row>
    <row r="1090">
      <c r="A1090" s="259"/>
      <c r="B1090" s="260"/>
      <c r="C1090" s="260"/>
      <c r="D1090" s="394" t="s">
        <v>121</v>
      </c>
      <c r="E1090" s="394">
        <v>1.0</v>
      </c>
      <c r="F1090" s="395"/>
      <c r="G1090" s="372"/>
      <c r="H1090" s="373" t="s">
        <v>122</v>
      </c>
      <c r="I1090" s="396" t="s">
        <v>106</v>
      </c>
      <c r="K1090" s="247"/>
      <c r="L1090" s="247"/>
    </row>
    <row r="1091">
      <c r="A1091" s="328" t="s">
        <v>820</v>
      </c>
      <c r="B1091" s="303" t="s">
        <v>636</v>
      </c>
      <c r="C1091" s="282">
        <f>sum(E1091:E1093)</f>
        <v>5</v>
      </c>
      <c r="D1091" s="481" t="s">
        <v>40</v>
      </c>
      <c r="E1091" s="482">
        <v>1.0</v>
      </c>
      <c r="F1091" s="483"/>
      <c r="G1091" s="484"/>
      <c r="H1091" s="484" t="s">
        <v>41</v>
      </c>
      <c r="I1091" s="428" t="s">
        <v>31</v>
      </c>
      <c r="K1091" s="247"/>
      <c r="L1091" s="247"/>
    </row>
    <row r="1092">
      <c r="A1092" s="248"/>
      <c r="D1092" s="251" t="s">
        <v>448</v>
      </c>
      <c r="E1092" s="251">
        <v>2.0</v>
      </c>
      <c r="F1092" s="257"/>
      <c r="G1092" s="258"/>
      <c r="H1092" s="254" t="s">
        <v>284</v>
      </c>
      <c r="I1092" s="255" t="s">
        <v>66</v>
      </c>
      <c r="K1092" s="247"/>
      <c r="L1092" s="247"/>
    </row>
    <row r="1093">
      <c r="A1093" s="259"/>
      <c r="B1093" s="260"/>
      <c r="C1093" s="260"/>
      <c r="D1093" s="321" t="s">
        <v>102</v>
      </c>
      <c r="E1093" s="322">
        <v>2.0</v>
      </c>
      <c r="F1093" s="323"/>
      <c r="G1093" s="324"/>
      <c r="H1093" s="324" t="s">
        <v>103</v>
      </c>
      <c r="I1093" s="325" t="s">
        <v>99</v>
      </c>
      <c r="K1093" s="247"/>
      <c r="L1093" s="247"/>
    </row>
    <row r="1094">
      <c r="A1094" s="261" t="s">
        <v>821</v>
      </c>
      <c r="B1094" s="262" t="s">
        <v>822</v>
      </c>
      <c r="C1094" s="263">
        <f>sum(E1094:E1096)</f>
        <v>5</v>
      </c>
      <c r="D1094" s="264" t="s">
        <v>160</v>
      </c>
      <c r="E1094" s="264">
        <v>1.0</v>
      </c>
      <c r="F1094" s="265"/>
      <c r="G1094" s="265"/>
      <c r="H1094" s="285" t="s">
        <v>161</v>
      </c>
      <c r="I1094" s="267" t="s">
        <v>145</v>
      </c>
      <c r="K1094" s="247"/>
      <c r="L1094" s="247"/>
    </row>
    <row r="1095">
      <c r="A1095" s="248"/>
      <c r="D1095" s="251" t="s">
        <v>163</v>
      </c>
      <c r="E1095" s="251">
        <v>2.0</v>
      </c>
      <c r="F1095" s="256"/>
      <c r="G1095" s="253"/>
      <c r="H1095" s="254" t="s">
        <v>165</v>
      </c>
      <c r="I1095" s="255" t="s">
        <v>164</v>
      </c>
      <c r="K1095" s="247"/>
      <c r="L1095" s="247"/>
    </row>
    <row r="1096">
      <c r="A1096" s="259"/>
      <c r="B1096" s="260"/>
      <c r="C1096" s="260"/>
      <c r="D1096" s="251" t="s">
        <v>12</v>
      </c>
      <c r="E1096" s="251">
        <v>2.0</v>
      </c>
      <c r="F1096" s="364"/>
      <c r="G1096" s="364"/>
      <c r="H1096" s="293" t="s">
        <v>349</v>
      </c>
      <c r="I1096" s="255" t="s">
        <v>8</v>
      </c>
      <c r="K1096" s="247"/>
      <c r="L1096" s="247"/>
    </row>
    <row r="1097">
      <c r="A1097" s="261" t="s">
        <v>823</v>
      </c>
      <c r="B1097" s="262" t="s">
        <v>303</v>
      </c>
      <c r="C1097" s="263">
        <f>sum(E1097:E1099)</f>
        <v>5</v>
      </c>
      <c r="D1097" s="482" t="s">
        <v>37</v>
      </c>
      <c r="E1097" s="482">
        <v>1.0</v>
      </c>
      <c r="F1097" s="483"/>
      <c r="G1097" s="484"/>
      <c r="H1097" s="706" t="s">
        <v>38</v>
      </c>
      <c r="I1097" s="428" t="s">
        <v>31</v>
      </c>
      <c r="K1097" s="247"/>
      <c r="L1097" s="247"/>
    </row>
    <row r="1098">
      <c r="A1098" s="248"/>
      <c r="D1098" s="251" t="s">
        <v>50</v>
      </c>
      <c r="E1098" s="251">
        <v>2.0</v>
      </c>
      <c r="F1098" s="252"/>
      <c r="G1098" s="253"/>
      <c r="H1098" s="254" t="s">
        <v>51</v>
      </c>
      <c r="I1098" s="255" t="s">
        <v>44</v>
      </c>
      <c r="K1098" s="247"/>
      <c r="L1098" s="247"/>
    </row>
    <row r="1099">
      <c r="A1099" s="259"/>
      <c r="B1099" s="260"/>
      <c r="C1099" s="260"/>
      <c r="D1099" s="338" t="s">
        <v>151</v>
      </c>
      <c r="E1099" s="338">
        <v>2.0</v>
      </c>
      <c r="F1099" s="339"/>
      <c r="G1099" s="339"/>
      <c r="H1099" s="339" t="s">
        <v>152</v>
      </c>
      <c r="I1099" s="342" t="s">
        <v>145</v>
      </c>
      <c r="K1099" s="247"/>
      <c r="L1099" s="247"/>
    </row>
    <row r="1100">
      <c r="A1100" s="261" t="s">
        <v>824</v>
      </c>
      <c r="B1100" s="303" t="s">
        <v>825</v>
      </c>
      <c r="C1100" s="263">
        <f>sum(E1100:E1102)</f>
        <v>5</v>
      </c>
      <c r="D1100" s="264" t="s">
        <v>163</v>
      </c>
      <c r="E1100" s="264">
        <v>2.0</v>
      </c>
      <c r="F1100" s="374"/>
      <c r="G1100" s="305"/>
      <c r="H1100" s="285" t="s">
        <v>165</v>
      </c>
      <c r="I1100" s="286" t="s">
        <v>164</v>
      </c>
      <c r="K1100" s="247"/>
      <c r="L1100" s="247"/>
    </row>
    <row r="1101">
      <c r="A1101" s="248"/>
      <c r="D1101" s="251" t="s">
        <v>105</v>
      </c>
      <c r="E1101" s="251">
        <v>2.0</v>
      </c>
      <c r="F1101" s="364"/>
      <c r="G1101" s="364"/>
      <c r="H1101" s="293" t="s">
        <v>107</v>
      </c>
      <c r="I1101" s="255" t="s">
        <v>106</v>
      </c>
      <c r="K1101" s="247"/>
      <c r="L1101" s="247"/>
    </row>
    <row r="1102">
      <c r="A1102" s="259"/>
      <c r="B1102" s="260"/>
      <c r="C1102" s="260"/>
      <c r="D1102" s="277" t="s">
        <v>160</v>
      </c>
      <c r="E1102" s="277">
        <v>1.0</v>
      </c>
      <c r="F1102" s="299"/>
      <c r="G1102" s="299"/>
      <c r="H1102" s="280" t="s">
        <v>161</v>
      </c>
      <c r="I1102" s="301" t="s">
        <v>145</v>
      </c>
      <c r="K1102" s="247"/>
      <c r="L1102" s="247"/>
    </row>
    <row r="1103">
      <c r="A1103" s="261" t="s">
        <v>826</v>
      </c>
      <c r="B1103" s="476" t="s">
        <v>827</v>
      </c>
      <c r="C1103" s="263">
        <f>sum(E1103:E1105)</f>
        <v>5</v>
      </c>
      <c r="D1103" s="264" t="s">
        <v>331</v>
      </c>
      <c r="E1103" s="264">
        <v>2.0</v>
      </c>
      <c r="F1103" s="330"/>
      <c r="G1103" s="305"/>
      <c r="H1103" s="285" t="s">
        <v>332</v>
      </c>
      <c r="I1103" s="286" t="s">
        <v>8</v>
      </c>
      <c r="K1103" s="247"/>
      <c r="L1103" s="247"/>
    </row>
    <row r="1104">
      <c r="A1104" s="248"/>
      <c r="D1104" s="251" t="s">
        <v>160</v>
      </c>
      <c r="E1104" s="251">
        <v>1.0</v>
      </c>
      <c r="F1104" s="306"/>
      <c r="G1104" s="306"/>
      <c r="H1104" s="254" t="s">
        <v>161</v>
      </c>
      <c r="I1104" s="287" t="s">
        <v>145</v>
      </c>
      <c r="K1104" s="247"/>
      <c r="L1104" s="247"/>
    </row>
    <row r="1105">
      <c r="A1105" s="259"/>
      <c r="B1105" s="260"/>
      <c r="C1105" s="260"/>
      <c r="D1105" s="251" t="s">
        <v>163</v>
      </c>
      <c r="E1105" s="251">
        <v>2.0</v>
      </c>
      <c r="F1105" s="256"/>
      <c r="G1105" s="253"/>
      <c r="H1105" s="254" t="s">
        <v>165</v>
      </c>
      <c r="I1105" s="255" t="s">
        <v>164</v>
      </c>
      <c r="K1105" s="247"/>
      <c r="L1105" s="247"/>
    </row>
    <row r="1106">
      <c r="A1106" s="261" t="s">
        <v>828</v>
      </c>
      <c r="B1106" s="262" t="s">
        <v>829</v>
      </c>
      <c r="C1106" s="263">
        <f>sum(E1106:E1108)</f>
        <v>5</v>
      </c>
      <c r="D1106" s="264" t="s">
        <v>23</v>
      </c>
      <c r="E1106" s="264">
        <v>2.0</v>
      </c>
      <c r="F1106" s="374"/>
      <c r="G1106" s="305"/>
      <c r="H1106" s="285" t="s">
        <v>308</v>
      </c>
      <c r="I1106" s="286" t="s">
        <v>24</v>
      </c>
      <c r="J1106" s="305"/>
      <c r="K1106" s="693"/>
      <c r="L1106" s="693"/>
      <c r="M1106" s="305"/>
      <c r="N1106" s="305"/>
      <c r="O1106" s="305"/>
      <c r="P1106" s="305"/>
      <c r="Q1106" s="305"/>
      <c r="R1106" s="305"/>
      <c r="S1106" s="305"/>
      <c r="T1106" s="305"/>
      <c r="U1106" s="305"/>
      <c r="V1106" s="305"/>
      <c r="W1106" s="305"/>
      <c r="X1106" s="305"/>
      <c r="Y1106" s="305"/>
      <c r="Z1106" s="305"/>
      <c r="AA1106" s="305"/>
      <c r="AB1106" s="305"/>
      <c r="AC1106" s="694"/>
    </row>
    <row r="1107">
      <c r="A1107" s="248"/>
      <c r="D1107" s="251" t="s">
        <v>12</v>
      </c>
      <c r="E1107" s="251">
        <v>2.0</v>
      </c>
      <c r="F1107" s="364"/>
      <c r="G1107" s="364"/>
      <c r="H1107" s="293" t="s">
        <v>349</v>
      </c>
      <c r="I1107" s="255" t="s">
        <v>8</v>
      </c>
      <c r="K1107" s="247"/>
      <c r="L1107" s="247"/>
      <c r="AC1107" s="696"/>
    </row>
    <row r="1108">
      <c r="A1108" s="259"/>
      <c r="B1108" s="260"/>
      <c r="C1108" s="260"/>
      <c r="D1108" s="394" t="s">
        <v>121</v>
      </c>
      <c r="E1108" s="394">
        <v>1.0</v>
      </c>
      <c r="F1108" s="395"/>
      <c r="G1108" s="372"/>
      <c r="H1108" s="373" t="s">
        <v>122</v>
      </c>
      <c r="I1108" s="396" t="s">
        <v>106</v>
      </c>
      <c r="J1108" s="316"/>
      <c r="K1108" s="697"/>
      <c r="L1108" s="697"/>
      <c r="M1108" s="316"/>
      <c r="N1108" s="316"/>
      <c r="O1108" s="316"/>
      <c r="P1108" s="316"/>
      <c r="Q1108" s="316"/>
      <c r="R1108" s="316"/>
      <c r="S1108" s="316"/>
      <c r="T1108" s="316"/>
      <c r="U1108" s="316"/>
      <c r="V1108" s="316"/>
      <c r="W1108" s="316"/>
      <c r="X1108" s="316"/>
      <c r="Y1108" s="316"/>
      <c r="Z1108" s="316"/>
      <c r="AA1108" s="316"/>
      <c r="AB1108" s="316"/>
      <c r="AC1108" s="698"/>
    </row>
    <row r="1109">
      <c r="A1109" s="261" t="s">
        <v>830</v>
      </c>
      <c r="B1109" s="262" t="s">
        <v>698</v>
      </c>
      <c r="C1109" s="263">
        <f>sum(E1109:E1111)</f>
        <v>5</v>
      </c>
      <c r="D1109" s="264" t="s">
        <v>331</v>
      </c>
      <c r="E1109" s="264">
        <v>2.0</v>
      </c>
      <c r="F1109" s="330"/>
      <c r="G1109" s="305"/>
      <c r="H1109" s="285" t="s">
        <v>332</v>
      </c>
      <c r="I1109" s="286" t="s">
        <v>8</v>
      </c>
      <c r="K1109" s="247"/>
      <c r="L1109" s="247"/>
    </row>
    <row r="1110">
      <c r="A1110" s="248"/>
      <c r="D1110" s="251" t="s">
        <v>65</v>
      </c>
      <c r="E1110" s="251">
        <v>3.0</v>
      </c>
      <c r="F1110" s="252"/>
      <c r="G1110" s="253"/>
      <c r="H1110" s="254" t="s">
        <v>284</v>
      </c>
      <c r="I1110" s="255" t="s">
        <v>66</v>
      </c>
      <c r="K1110" s="247"/>
      <c r="L1110" s="247"/>
    </row>
    <row r="1111">
      <c r="A1111" s="259"/>
      <c r="B1111" s="260"/>
      <c r="C1111" s="260"/>
      <c r="D1111" s="260"/>
      <c r="E1111" s="260"/>
      <c r="F1111" s="260"/>
      <c r="G1111" s="260"/>
      <c r="H1111" s="260"/>
      <c r="I1111" s="538"/>
      <c r="K1111" s="247"/>
      <c r="L1111" s="247"/>
    </row>
    <row r="1112">
      <c r="A1112" s="261" t="s">
        <v>831</v>
      </c>
      <c r="B1112" s="262" t="s">
        <v>832</v>
      </c>
      <c r="C1112" s="707">
        <f>sum(E1112:E1114)</f>
        <v>5</v>
      </c>
      <c r="D1112" s="264" t="s">
        <v>50</v>
      </c>
      <c r="E1112" s="264">
        <v>2.0</v>
      </c>
      <c r="F1112" s="330"/>
      <c r="G1112" s="305"/>
      <c r="H1112" s="285" t="s">
        <v>51</v>
      </c>
      <c r="I1112" s="286" t="s">
        <v>44</v>
      </c>
      <c r="K1112" s="247"/>
      <c r="L1112" s="247"/>
    </row>
    <row r="1113">
      <c r="A1113" s="248"/>
      <c r="D1113" s="251" t="s">
        <v>285</v>
      </c>
      <c r="E1113" s="251">
        <v>1.0</v>
      </c>
      <c r="F1113" s="257"/>
      <c r="G1113" s="258"/>
      <c r="H1113" s="254" t="s">
        <v>116</v>
      </c>
      <c r="I1113" s="255" t="s">
        <v>106</v>
      </c>
      <c r="K1113" s="247"/>
      <c r="L1113" s="247"/>
    </row>
    <row r="1114">
      <c r="A1114" s="259"/>
      <c r="B1114" s="260"/>
      <c r="C1114" s="260"/>
      <c r="D1114" s="277" t="s">
        <v>291</v>
      </c>
      <c r="E1114" s="277">
        <v>2.0</v>
      </c>
      <c r="F1114" s="278"/>
      <c r="G1114" s="279"/>
      <c r="H1114" s="280" t="s">
        <v>284</v>
      </c>
      <c r="I1114" s="281" t="s">
        <v>66</v>
      </c>
      <c r="K1114" s="247"/>
      <c r="L1114" s="247"/>
    </row>
    <row r="1115">
      <c r="A1115" s="327" t="s">
        <v>833</v>
      </c>
      <c r="B1115" s="327" t="s">
        <v>834</v>
      </c>
      <c r="C1115" s="673">
        <f>sum(E1115:E1116)</f>
        <v>5</v>
      </c>
      <c r="D1115" s="306" t="s">
        <v>157</v>
      </c>
      <c r="E1115" s="306">
        <v>2.0</v>
      </c>
      <c r="F1115" s="274"/>
      <c r="G1115" s="274"/>
      <c r="H1115" s="275" t="s">
        <v>158</v>
      </c>
      <c r="I1115" s="287" t="s">
        <v>145</v>
      </c>
      <c r="K1115" s="247"/>
      <c r="L1115" s="247"/>
    </row>
    <row r="1116">
      <c r="D1116" s="251" t="s">
        <v>406</v>
      </c>
      <c r="E1116" s="251">
        <v>3.0</v>
      </c>
      <c r="F1116" s="252"/>
      <c r="G1116" s="253"/>
      <c r="H1116" s="254" t="s">
        <v>32</v>
      </c>
      <c r="I1116" s="336" t="s">
        <v>31</v>
      </c>
      <c r="K1116" s="247"/>
      <c r="L1116" s="247"/>
    </row>
    <row r="1117">
      <c r="A1117" s="261" t="s">
        <v>830</v>
      </c>
      <c r="B1117" s="262" t="s">
        <v>835</v>
      </c>
      <c r="C1117" s="282">
        <f>sum(E1117:E1119)</f>
        <v>5</v>
      </c>
      <c r="D1117" s="265" t="s">
        <v>98</v>
      </c>
      <c r="E1117" s="265">
        <v>2.0</v>
      </c>
      <c r="F1117" s="332"/>
      <c r="G1117" s="332"/>
      <c r="H1117" s="333" t="s">
        <v>100</v>
      </c>
      <c r="I1117" s="286" t="s">
        <v>99</v>
      </c>
      <c r="K1117" s="247"/>
      <c r="L1117" s="247"/>
    </row>
    <row r="1118">
      <c r="A1118" s="248"/>
      <c r="D1118" s="251" t="s">
        <v>163</v>
      </c>
      <c r="E1118" s="251">
        <v>2.0</v>
      </c>
      <c r="F1118" s="256"/>
      <c r="G1118" s="253"/>
      <c r="H1118" s="254" t="s">
        <v>165</v>
      </c>
      <c r="I1118" s="255" t="s">
        <v>164</v>
      </c>
      <c r="K1118" s="247"/>
      <c r="L1118" s="247"/>
    </row>
    <row r="1119">
      <c r="A1119" s="259"/>
      <c r="B1119" s="260"/>
      <c r="C1119" s="260"/>
      <c r="D1119" s="277" t="s">
        <v>285</v>
      </c>
      <c r="E1119" s="277">
        <v>1.0</v>
      </c>
      <c r="F1119" s="278"/>
      <c r="G1119" s="279"/>
      <c r="H1119" s="280" t="s">
        <v>116</v>
      </c>
      <c r="I1119" s="281" t="s">
        <v>106</v>
      </c>
      <c r="K1119" s="247"/>
      <c r="L1119" s="247"/>
    </row>
    <row r="1120">
      <c r="A1120" s="708" t="s">
        <v>836</v>
      </c>
      <c r="B1120" s="591" t="s">
        <v>837</v>
      </c>
      <c r="C1120" s="263">
        <f>sum(E1120:E1121)</f>
        <v>5</v>
      </c>
      <c r="D1120" s="265" t="s">
        <v>98</v>
      </c>
      <c r="E1120" s="265">
        <v>2.0</v>
      </c>
      <c r="F1120" s="332"/>
      <c r="G1120" s="332"/>
      <c r="H1120" s="333" t="s">
        <v>100</v>
      </c>
      <c r="I1120" s="286" t="s">
        <v>99</v>
      </c>
    </row>
    <row r="1121">
      <c r="A1121" s="259"/>
      <c r="B1121" s="260"/>
      <c r="C1121" s="260"/>
      <c r="D1121" s="277" t="s">
        <v>148</v>
      </c>
      <c r="E1121" s="277">
        <v>3.0</v>
      </c>
      <c r="F1121" s="299"/>
      <c r="G1121" s="299"/>
      <c r="H1121" s="300" t="s">
        <v>146</v>
      </c>
      <c r="I1121" s="301" t="s">
        <v>145</v>
      </c>
    </row>
    <row r="1122" ht="17.25" customHeight="1">
      <c r="A1122" s="240" t="s">
        <v>838</v>
      </c>
      <c r="B1122" s="486" t="s">
        <v>839</v>
      </c>
      <c r="C1122" s="242">
        <f>sum(E1122:E1124)</f>
        <v>4</v>
      </c>
      <c r="D1122" s="251" t="s">
        <v>331</v>
      </c>
      <c r="E1122" s="251">
        <v>2.0</v>
      </c>
      <c r="F1122" s="252"/>
      <c r="G1122" s="253"/>
      <c r="H1122" s="254" t="s">
        <v>332</v>
      </c>
      <c r="I1122" s="255" t="s">
        <v>8</v>
      </c>
      <c r="K1122" s="247"/>
      <c r="L1122" s="247"/>
    </row>
    <row r="1123">
      <c r="A1123" s="248"/>
      <c r="D1123" s="251" t="s">
        <v>132</v>
      </c>
      <c r="E1123" s="251">
        <v>1.0</v>
      </c>
      <c r="F1123" s="252"/>
      <c r="G1123" s="253"/>
      <c r="H1123" s="254" t="s">
        <v>133</v>
      </c>
      <c r="I1123" s="255" t="s">
        <v>106</v>
      </c>
      <c r="K1123" s="247"/>
      <c r="L1123" s="247"/>
    </row>
    <row r="1124">
      <c r="A1124" s="259"/>
      <c r="B1124" s="260"/>
      <c r="C1124" s="260"/>
      <c r="D1124" s="277" t="s">
        <v>56</v>
      </c>
      <c r="E1124" s="277">
        <v>1.0</v>
      </c>
      <c r="F1124" s="278"/>
      <c r="G1124" s="279"/>
      <c r="H1124" s="280" t="s">
        <v>57</v>
      </c>
      <c r="I1124" s="281" t="s">
        <v>44</v>
      </c>
      <c r="K1124" s="247"/>
      <c r="L1124" s="247"/>
    </row>
    <row r="1125">
      <c r="A1125" s="366" t="s">
        <v>840</v>
      </c>
      <c r="B1125" s="329" t="s">
        <v>841</v>
      </c>
      <c r="C1125" s="282">
        <f>sum(E1125:E1126)</f>
        <v>4</v>
      </c>
      <c r="D1125" s="264" t="s">
        <v>331</v>
      </c>
      <c r="E1125" s="264">
        <v>2.0</v>
      </c>
      <c r="F1125" s="330"/>
      <c r="G1125" s="305"/>
      <c r="H1125" s="285" t="s">
        <v>332</v>
      </c>
      <c r="I1125" s="286" t="s">
        <v>8</v>
      </c>
      <c r="K1125" s="247"/>
      <c r="L1125" s="247"/>
    </row>
    <row r="1126">
      <c r="A1126" s="259"/>
      <c r="B1126" s="260"/>
      <c r="C1126" s="260"/>
      <c r="D1126" s="277" t="s">
        <v>50</v>
      </c>
      <c r="E1126" s="277">
        <v>2.0</v>
      </c>
      <c r="F1126" s="315"/>
      <c r="G1126" s="316"/>
      <c r="H1126" s="280" t="s">
        <v>51</v>
      </c>
      <c r="I1126" s="281" t="s">
        <v>44</v>
      </c>
      <c r="K1126" s="247"/>
      <c r="L1126" s="247"/>
    </row>
    <row r="1127">
      <c r="A1127" s="261" t="s">
        <v>842</v>
      </c>
      <c r="B1127" s="262" t="s">
        <v>843</v>
      </c>
      <c r="C1127" s="282">
        <f>sum(E1127:E1128)</f>
        <v>4</v>
      </c>
      <c r="D1127" s="264" t="s">
        <v>163</v>
      </c>
      <c r="E1127" s="264">
        <v>2.0</v>
      </c>
      <c r="F1127" s="374"/>
      <c r="G1127" s="305"/>
      <c r="H1127" s="285" t="s">
        <v>165</v>
      </c>
      <c r="I1127" s="286" t="s">
        <v>164</v>
      </c>
      <c r="K1127" s="247"/>
      <c r="L1127" s="247"/>
    </row>
    <row r="1128">
      <c r="A1128" s="259"/>
      <c r="B1128" s="260"/>
      <c r="C1128" s="260"/>
      <c r="D1128" s="277" t="s">
        <v>12</v>
      </c>
      <c r="E1128" s="277">
        <v>2.0</v>
      </c>
      <c r="F1128" s="315"/>
      <c r="G1128" s="316"/>
      <c r="H1128" s="280" t="s">
        <v>349</v>
      </c>
      <c r="I1128" s="281" t="s">
        <v>8</v>
      </c>
      <c r="J1128" s="310"/>
      <c r="K1128" s="247"/>
      <c r="L1128" s="247"/>
    </row>
    <row r="1129">
      <c r="A1129" s="261" t="s">
        <v>844</v>
      </c>
      <c r="B1129" s="262" t="s">
        <v>845</v>
      </c>
      <c r="C1129" s="282">
        <f>sum(E1129:E1130)</f>
        <v>4</v>
      </c>
      <c r="D1129" s="264" t="s">
        <v>163</v>
      </c>
      <c r="E1129" s="264">
        <v>2.0</v>
      </c>
      <c r="F1129" s="374"/>
      <c r="G1129" s="305"/>
      <c r="H1129" s="285" t="s">
        <v>165</v>
      </c>
      <c r="I1129" s="286" t="s">
        <v>164</v>
      </c>
      <c r="K1129" s="247"/>
      <c r="L1129" s="247"/>
    </row>
    <row r="1130">
      <c r="A1130" s="259"/>
      <c r="B1130" s="260"/>
      <c r="C1130" s="260"/>
      <c r="D1130" s="277" t="s">
        <v>167</v>
      </c>
      <c r="E1130" s="277">
        <v>2.0</v>
      </c>
      <c r="F1130" s="315"/>
      <c r="G1130" s="316"/>
      <c r="H1130" s="280" t="s">
        <v>168</v>
      </c>
      <c r="I1130" s="281" t="s">
        <v>164</v>
      </c>
      <c r="K1130" s="247"/>
      <c r="L1130" s="247"/>
    </row>
    <row r="1131">
      <c r="A1131" s="328" t="s">
        <v>846</v>
      </c>
      <c r="B1131" s="262" t="s">
        <v>847</v>
      </c>
      <c r="C1131" s="282">
        <f>sum(E1131:E1133)</f>
        <v>4</v>
      </c>
      <c r="D1131" s="265" t="s">
        <v>62</v>
      </c>
      <c r="E1131" s="265">
        <v>1.0</v>
      </c>
      <c r="F1131" s="332"/>
      <c r="G1131" s="332"/>
      <c r="H1131" s="333" t="s">
        <v>63</v>
      </c>
      <c r="I1131" s="286" t="s">
        <v>44</v>
      </c>
      <c r="K1131" s="247"/>
      <c r="L1131" s="247"/>
    </row>
    <row r="1132">
      <c r="A1132" s="248"/>
      <c r="D1132" s="251" t="s">
        <v>127</v>
      </c>
      <c r="E1132" s="251">
        <v>1.0</v>
      </c>
      <c r="F1132" s="400"/>
      <c r="G1132" s="401"/>
      <c r="H1132" s="254" t="s">
        <v>128</v>
      </c>
      <c r="I1132" s="255" t="s">
        <v>106</v>
      </c>
      <c r="K1132" s="247"/>
      <c r="L1132" s="247"/>
    </row>
    <row r="1133">
      <c r="A1133" s="259"/>
      <c r="B1133" s="260"/>
      <c r="C1133" s="260"/>
      <c r="D1133" s="277" t="s">
        <v>163</v>
      </c>
      <c r="E1133" s="277">
        <v>2.0</v>
      </c>
      <c r="F1133" s="365"/>
      <c r="G1133" s="316"/>
      <c r="H1133" s="280" t="s">
        <v>165</v>
      </c>
      <c r="I1133" s="281" t="s">
        <v>164</v>
      </c>
      <c r="K1133" s="247"/>
      <c r="L1133" s="247"/>
    </row>
    <row r="1134">
      <c r="A1134" s="261" t="s">
        <v>848</v>
      </c>
      <c r="B1134" s="262" t="s">
        <v>849</v>
      </c>
      <c r="C1134" s="282">
        <f>sum(E1134:E1135)</f>
        <v>4</v>
      </c>
      <c r="D1134" s="264" t="s">
        <v>12</v>
      </c>
      <c r="E1134" s="264">
        <v>2.0</v>
      </c>
      <c r="F1134" s="406"/>
      <c r="G1134" s="406"/>
      <c r="H1134" s="266" t="s">
        <v>349</v>
      </c>
      <c r="I1134" s="286" t="s">
        <v>8</v>
      </c>
      <c r="K1134" s="247"/>
      <c r="L1134" s="247"/>
    </row>
    <row r="1135">
      <c r="A1135" s="259"/>
      <c r="B1135" s="260"/>
      <c r="C1135" s="260"/>
      <c r="D1135" s="251" t="s">
        <v>163</v>
      </c>
      <c r="E1135" s="251">
        <v>2.0</v>
      </c>
      <c r="F1135" s="256"/>
      <c r="G1135" s="253"/>
      <c r="H1135" s="254" t="s">
        <v>165</v>
      </c>
      <c r="I1135" s="255" t="s">
        <v>164</v>
      </c>
      <c r="K1135" s="247"/>
      <c r="L1135" s="247"/>
    </row>
    <row r="1136">
      <c r="A1136" s="240" t="s">
        <v>850</v>
      </c>
      <c r="B1136" s="327" t="s">
        <v>525</v>
      </c>
      <c r="C1136" s="242">
        <f>sum(E1136:E1137)</f>
        <v>4</v>
      </c>
      <c r="D1136" s="251" t="s">
        <v>23</v>
      </c>
      <c r="E1136" s="251">
        <v>2.0</v>
      </c>
      <c r="F1136" s="351"/>
      <c r="G1136" s="352"/>
      <c r="H1136" s="293" t="s">
        <v>308</v>
      </c>
      <c r="I1136" s="255" t="s">
        <v>24</v>
      </c>
      <c r="K1136" s="247"/>
      <c r="L1136" s="247"/>
    </row>
    <row r="1137">
      <c r="A1137" s="259"/>
      <c r="B1137" s="260"/>
      <c r="C1137" s="260"/>
      <c r="D1137" s="277" t="s">
        <v>18</v>
      </c>
      <c r="E1137" s="277">
        <v>2.0</v>
      </c>
      <c r="F1137" s="315"/>
      <c r="G1137" s="316"/>
      <c r="H1137" s="392" t="s">
        <v>322</v>
      </c>
      <c r="I1137" s="281" t="s">
        <v>8</v>
      </c>
      <c r="K1137" s="247"/>
      <c r="L1137" s="247"/>
    </row>
    <row r="1138">
      <c r="A1138" s="390" t="s">
        <v>851</v>
      </c>
      <c r="B1138" s="433" t="s">
        <v>852</v>
      </c>
      <c r="C1138" s="673">
        <f>sum(E1138:E1139)</f>
        <v>4</v>
      </c>
      <c r="D1138" s="440" t="s">
        <v>102</v>
      </c>
      <c r="E1138" s="441">
        <v>2.0</v>
      </c>
      <c r="F1138" s="442"/>
      <c r="G1138" s="443"/>
      <c r="H1138" s="443" t="s">
        <v>103</v>
      </c>
      <c r="I1138" s="444" t="s">
        <v>99</v>
      </c>
      <c r="K1138" s="247"/>
      <c r="L1138" s="247"/>
    </row>
    <row r="1139">
      <c r="A1139" s="259"/>
      <c r="B1139" s="260"/>
      <c r="C1139" s="260"/>
      <c r="D1139" s="277" t="s">
        <v>331</v>
      </c>
      <c r="E1139" s="277">
        <v>2.0</v>
      </c>
      <c r="F1139" s="315"/>
      <c r="G1139" s="316"/>
      <c r="H1139" s="280" t="s">
        <v>332</v>
      </c>
      <c r="I1139" s="281" t="s">
        <v>8</v>
      </c>
      <c r="K1139" s="247"/>
      <c r="L1139" s="247"/>
    </row>
    <row r="1140">
      <c r="A1140" s="303" t="s">
        <v>853</v>
      </c>
      <c r="B1140" s="329" t="s">
        <v>819</v>
      </c>
      <c r="C1140" s="263">
        <f>sum(E1140:E1142)</f>
        <v>4</v>
      </c>
      <c r="D1140" s="264" t="s">
        <v>167</v>
      </c>
      <c r="E1140" s="264">
        <v>2.0</v>
      </c>
      <c r="F1140" s="265"/>
      <c r="G1140" s="265"/>
      <c r="H1140" s="266" t="s">
        <v>168</v>
      </c>
      <c r="I1140" s="286" t="s">
        <v>164</v>
      </c>
      <c r="K1140" s="247"/>
      <c r="L1140" s="247"/>
    </row>
    <row r="1141">
      <c r="D1141" s="434" t="s">
        <v>27</v>
      </c>
      <c r="E1141" s="435">
        <v>1.0</v>
      </c>
      <c r="F1141" s="436"/>
      <c r="G1141" s="437"/>
      <c r="H1141" s="438" t="s">
        <v>28</v>
      </c>
      <c r="I1141" s="439" t="s">
        <v>24</v>
      </c>
      <c r="K1141" s="247"/>
      <c r="L1141" s="247"/>
    </row>
    <row r="1142" ht="19.5" customHeight="1">
      <c r="A1142" s="260"/>
      <c r="B1142" s="260"/>
      <c r="C1142" s="260"/>
      <c r="D1142" s="489" t="s">
        <v>34</v>
      </c>
      <c r="E1142" s="489">
        <v>1.0</v>
      </c>
      <c r="F1142" s="490"/>
      <c r="G1142" s="491"/>
      <c r="H1142" s="491" t="s">
        <v>35</v>
      </c>
      <c r="I1142" s="709" t="s">
        <v>31</v>
      </c>
      <c r="K1142" s="247"/>
      <c r="L1142" s="247"/>
    </row>
    <row r="1143" ht="19.5" customHeight="1">
      <c r="A1143" s="691" t="s">
        <v>854</v>
      </c>
      <c r="B1143" s="318" t="s">
        <v>528</v>
      </c>
      <c r="C1143" s="263">
        <f>sum(E1143:E1145)</f>
        <v>4</v>
      </c>
      <c r="D1143" s="264" t="s">
        <v>163</v>
      </c>
      <c r="E1143" s="264">
        <v>2.0</v>
      </c>
      <c r="F1143" s="374"/>
      <c r="G1143" s="305"/>
      <c r="H1143" s="285" t="s">
        <v>165</v>
      </c>
      <c r="I1143" s="286" t="s">
        <v>164</v>
      </c>
      <c r="K1143" s="247"/>
      <c r="L1143" s="247"/>
    </row>
    <row r="1144">
      <c r="A1144" s="248"/>
      <c r="D1144" s="251" t="s">
        <v>56</v>
      </c>
      <c r="E1144" s="251">
        <v>1.0</v>
      </c>
      <c r="F1144" s="252"/>
      <c r="G1144" s="253"/>
      <c r="H1144" s="254" t="s">
        <v>57</v>
      </c>
      <c r="I1144" s="255" t="s">
        <v>44</v>
      </c>
      <c r="K1144" s="247"/>
      <c r="L1144" s="247"/>
    </row>
    <row r="1145">
      <c r="A1145" s="259"/>
      <c r="B1145" s="260"/>
      <c r="C1145" s="260"/>
      <c r="D1145" s="277" t="s">
        <v>118</v>
      </c>
      <c r="E1145" s="277">
        <v>1.0</v>
      </c>
      <c r="F1145" s="316"/>
      <c r="G1145" s="316"/>
      <c r="H1145" s="280" t="s">
        <v>323</v>
      </c>
      <c r="I1145" s="281" t="s">
        <v>106</v>
      </c>
      <c r="K1145" s="247"/>
      <c r="L1145" s="247"/>
    </row>
    <row r="1146">
      <c r="A1146" s="590" t="s">
        <v>855</v>
      </c>
      <c r="B1146" s="591" t="s">
        <v>778</v>
      </c>
      <c r="C1146" s="263">
        <f>sum(E1146:E1148)</f>
        <v>4</v>
      </c>
      <c r="D1146" s="424" t="s">
        <v>95</v>
      </c>
      <c r="E1146" s="425">
        <v>1.0</v>
      </c>
      <c r="F1146" s="426"/>
      <c r="G1146" s="426"/>
      <c r="H1146" s="426" t="s">
        <v>96</v>
      </c>
      <c r="I1146" s="427" t="s">
        <v>66</v>
      </c>
      <c r="J1146" s="274"/>
      <c r="K1146" s="274"/>
      <c r="L1146" s="274"/>
      <c r="M1146" s="274"/>
      <c r="N1146" s="274"/>
      <c r="O1146" s="274"/>
      <c r="P1146" s="274"/>
      <c r="Q1146" s="274"/>
      <c r="R1146" s="274"/>
      <c r="S1146" s="274"/>
      <c r="T1146" s="274"/>
      <c r="U1146" s="274"/>
      <c r="V1146" s="274"/>
      <c r="W1146" s="274"/>
      <c r="X1146" s="274"/>
      <c r="Y1146" s="274"/>
      <c r="Z1146" s="274"/>
      <c r="AA1146" s="274"/>
      <c r="AB1146" s="274"/>
      <c r="AC1146" s="274"/>
    </row>
    <row r="1147" ht="30.0" customHeight="1">
      <c r="A1147" s="248"/>
      <c r="D1147" s="251" t="s">
        <v>163</v>
      </c>
      <c r="E1147" s="251">
        <v>2.0</v>
      </c>
      <c r="F1147" s="256"/>
      <c r="G1147" s="253"/>
      <c r="H1147" s="254" t="s">
        <v>165</v>
      </c>
      <c r="I1147" s="255" t="s">
        <v>164</v>
      </c>
      <c r="K1147" s="247"/>
      <c r="L1147" s="247"/>
    </row>
    <row r="1148">
      <c r="A1148" s="259"/>
      <c r="B1148" s="260"/>
      <c r="C1148" s="260"/>
      <c r="D1148" s="277" t="s">
        <v>160</v>
      </c>
      <c r="E1148" s="277">
        <v>1.0</v>
      </c>
      <c r="F1148" s="299"/>
      <c r="G1148" s="299"/>
      <c r="H1148" s="280" t="s">
        <v>161</v>
      </c>
      <c r="I1148" s="301" t="s">
        <v>145</v>
      </c>
      <c r="K1148" s="247"/>
      <c r="L1148" s="247"/>
    </row>
    <row r="1149">
      <c r="A1149" s="328" t="s">
        <v>856</v>
      </c>
      <c r="B1149" s="303" t="s">
        <v>857</v>
      </c>
      <c r="C1149" s="263">
        <f>sum(E1149:E1151)</f>
        <v>4</v>
      </c>
      <c r="D1149" s="660" t="s">
        <v>124</v>
      </c>
      <c r="E1149" s="661">
        <v>1.0</v>
      </c>
      <c r="F1149" s="504"/>
      <c r="G1149" s="662"/>
      <c r="H1149" s="662" t="s">
        <v>125</v>
      </c>
      <c r="I1149" s="286" t="s">
        <v>106</v>
      </c>
      <c r="K1149" s="247"/>
      <c r="L1149" s="247"/>
    </row>
    <row r="1150">
      <c r="A1150" s="248"/>
      <c r="D1150" s="334" t="s">
        <v>40</v>
      </c>
      <c r="E1150" s="335">
        <v>1.0</v>
      </c>
      <c r="F1150" s="39"/>
      <c r="G1150" s="41"/>
      <c r="H1150" s="41" t="s">
        <v>41</v>
      </c>
      <c r="I1150" s="336" t="s">
        <v>31</v>
      </c>
      <c r="K1150" s="247"/>
      <c r="L1150" s="247"/>
    </row>
    <row r="1151">
      <c r="A1151" s="259"/>
      <c r="B1151" s="260"/>
      <c r="C1151" s="260"/>
      <c r="D1151" s="277" t="s">
        <v>23</v>
      </c>
      <c r="E1151" s="277">
        <v>2.0</v>
      </c>
      <c r="F1151" s="365"/>
      <c r="G1151" s="316"/>
      <c r="H1151" s="280" t="s">
        <v>308</v>
      </c>
      <c r="I1151" s="281" t="s">
        <v>24</v>
      </c>
      <c r="K1151" s="247"/>
      <c r="L1151" s="247"/>
    </row>
    <row r="1152">
      <c r="A1152" s="390" t="s">
        <v>858</v>
      </c>
      <c r="B1152" s="433" t="s">
        <v>859</v>
      </c>
      <c r="C1152" s="673">
        <f>sum(E1152:E1153)</f>
        <v>4</v>
      </c>
      <c r="D1152" s="265" t="s">
        <v>98</v>
      </c>
      <c r="E1152" s="265">
        <v>2.0</v>
      </c>
      <c r="F1152" s="332"/>
      <c r="G1152" s="332"/>
      <c r="H1152" s="333" t="s">
        <v>100</v>
      </c>
      <c r="I1152" s="286" t="s">
        <v>99</v>
      </c>
      <c r="K1152" s="247"/>
      <c r="L1152" s="247"/>
    </row>
    <row r="1153">
      <c r="A1153" s="259"/>
      <c r="B1153" s="260"/>
      <c r="C1153" s="260"/>
      <c r="D1153" s="277" t="s">
        <v>50</v>
      </c>
      <c r="E1153" s="277">
        <v>2.0</v>
      </c>
      <c r="F1153" s="315"/>
      <c r="G1153" s="316"/>
      <c r="H1153" s="280" t="s">
        <v>51</v>
      </c>
      <c r="I1153" s="281" t="s">
        <v>44</v>
      </c>
      <c r="K1153" s="247"/>
      <c r="L1153" s="247"/>
    </row>
    <row r="1154">
      <c r="A1154" s="261" t="s">
        <v>860</v>
      </c>
      <c r="B1154" s="262" t="s">
        <v>861</v>
      </c>
      <c r="C1154" s="263">
        <f>sum(E1154:E1156)</f>
        <v>4</v>
      </c>
      <c r="D1154" s="264" t="s">
        <v>331</v>
      </c>
      <c r="E1154" s="264">
        <v>2.0</v>
      </c>
      <c r="F1154" s="330"/>
      <c r="G1154" s="305"/>
      <c r="H1154" s="285" t="s">
        <v>332</v>
      </c>
      <c r="I1154" s="286" t="s">
        <v>8</v>
      </c>
      <c r="K1154" s="247"/>
      <c r="L1154" s="247"/>
    </row>
    <row r="1155">
      <c r="A1155" s="248"/>
      <c r="D1155" s="251" t="s">
        <v>118</v>
      </c>
      <c r="E1155" s="251">
        <v>1.0</v>
      </c>
      <c r="F1155" s="253"/>
      <c r="G1155" s="253"/>
      <c r="H1155" s="254" t="s">
        <v>323</v>
      </c>
      <c r="I1155" s="255" t="s">
        <v>106</v>
      </c>
      <c r="K1155" s="247"/>
      <c r="L1155" s="247"/>
    </row>
    <row r="1156">
      <c r="A1156" s="259"/>
      <c r="B1156" s="260"/>
      <c r="C1156" s="260"/>
      <c r="D1156" s="277" t="s">
        <v>285</v>
      </c>
      <c r="E1156" s="277">
        <v>1.0</v>
      </c>
      <c r="F1156" s="278"/>
      <c r="G1156" s="279"/>
      <c r="H1156" s="280" t="s">
        <v>116</v>
      </c>
      <c r="I1156" s="281" t="s">
        <v>106</v>
      </c>
      <c r="K1156" s="247"/>
      <c r="L1156" s="247"/>
    </row>
    <row r="1157">
      <c r="A1157" s="261" t="s">
        <v>862</v>
      </c>
      <c r="B1157" s="262" t="s">
        <v>863</v>
      </c>
      <c r="C1157" s="263">
        <f>sum(E1157:E1159)</f>
        <v>4</v>
      </c>
      <c r="D1157" s="264" t="s">
        <v>285</v>
      </c>
      <c r="E1157" s="264">
        <v>1.0</v>
      </c>
      <c r="F1157" s="283"/>
      <c r="G1157" s="284"/>
      <c r="H1157" s="285" t="s">
        <v>116</v>
      </c>
      <c r="I1157" s="286" t="s">
        <v>106</v>
      </c>
      <c r="K1157" s="247"/>
      <c r="L1157" s="247"/>
    </row>
    <row r="1158">
      <c r="A1158" s="248"/>
      <c r="D1158" s="251" t="s">
        <v>160</v>
      </c>
      <c r="E1158" s="251">
        <v>1.0</v>
      </c>
      <c r="F1158" s="306"/>
      <c r="G1158" s="306"/>
      <c r="H1158" s="254" t="s">
        <v>161</v>
      </c>
      <c r="I1158" s="287" t="s">
        <v>145</v>
      </c>
      <c r="K1158" s="247"/>
      <c r="L1158" s="247"/>
    </row>
    <row r="1159">
      <c r="A1159" s="259"/>
      <c r="B1159" s="260"/>
      <c r="C1159" s="260"/>
      <c r="D1159" s="277" t="s">
        <v>163</v>
      </c>
      <c r="E1159" s="277">
        <v>2.0</v>
      </c>
      <c r="F1159" s="365"/>
      <c r="G1159" s="316"/>
      <c r="H1159" s="280" t="s">
        <v>165</v>
      </c>
      <c r="I1159" s="281" t="s">
        <v>164</v>
      </c>
      <c r="K1159" s="247"/>
      <c r="L1159" s="247"/>
    </row>
    <row r="1160">
      <c r="A1160" s="302" t="s">
        <v>864</v>
      </c>
      <c r="B1160" s="476" t="s">
        <v>865</v>
      </c>
      <c r="C1160" s="263">
        <f>sum(E1160:E1162)</f>
        <v>4</v>
      </c>
      <c r="D1160" s="264" t="s">
        <v>20</v>
      </c>
      <c r="E1160" s="264">
        <v>2.0</v>
      </c>
      <c r="F1160" s="330"/>
      <c r="G1160" s="305"/>
      <c r="H1160" s="285" t="s">
        <v>21</v>
      </c>
      <c r="I1160" s="286" t="s">
        <v>8</v>
      </c>
    </row>
    <row r="1161">
      <c r="A1161" s="248"/>
      <c r="D1161" s="251" t="s">
        <v>285</v>
      </c>
      <c r="E1161" s="251">
        <v>1.0</v>
      </c>
      <c r="F1161" s="257"/>
      <c r="G1161" s="258"/>
      <c r="H1161" s="254" t="s">
        <v>116</v>
      </c>
      <c r="I1161" s="255" t="s">
        <v>106</v>
      </c>
    </row>
    <row r="1162">
      <c r="A1162" s="259"/>
      <c r="B1162" s="260"/>
      <c r="C1162" s="260"/>
      <c r="D1162" s="277" t="s">
        <v>118</v>
      </c>
      <c r="E1162" s="277">
        <v>1.0</v>
      </c>
      <c r="F1162" s="316"/>
      <c r="G1162" s="316"/>
      <c r="H1162" s="280" t="s">
        <v>323</v>
      </c>
      <c r="I1162" s="281" t="s">
        <v>106</v>
      </c>
    </row>
    <row r="1163">
      <c r="A1163" s="261" t="s">
        <v>866</v>
      </c>
      <c r="B1163" s="262" t="s">
        <v>867</v>
      </c>
      <c r="C1163" s="282">
        <f>sum(E1163:E1164)</f>
        <v>3</v>
      </c>
      <c r="D1163" s="264" t="s">
        <v>80</v>
      </c>
      <c r="E1163" s="264">
        <v>2.0</v>
      </c>
      <c r="F1163" s="305"/>
      <c r="G1163" s="305"/>
      <c r="H1163" s="285" t="s">
        <v>81</v>
      </c>
      <c r="I1163" s="286" t="s">
        <v>66</v>
      </c>
      <c r="K1163" s="247"/>
      <c r="L1163" s="247"/>
    </row>
    <row r="1164">
      <c r="A1164" s="259"/>
      <c r="B1164" s="260"/>
      <c r="C1164" s="260"/>
      <c r="D1164" s="277" t="s">
        <v>160</v>
      </c>
      <c r="E1164" s="277">
        <v>1.0</v>
      </c>
      <c r="F1164" s="299"/>
      <c r="G1164" s="299"/>
      <c r="H1164" s="280" t="s">
        <v>161</v>
      </c>
      <c r="I1164" s="301" t="s">
        <v>145</v>
      </c>
      <c r="K1164" s="247"/>
      <c r="L1164" s="247"/>
    </row>
    <row r="1165">
      <c r="A1165" s="690" t="s">
        <v>868</v>
      </c>
      <c r="B1165" s="486" t="s">
        <v>869</v>
      </c>
      <c r="C1165" s="242">
        <f>sum(E1165:E1166)</f>
        <v>3</v>
      </c>
      <c r="D1165" s="251" t="s">
        <v>163</v>
      </c>
      <c r="E1165" s="251">
        <v>2.0</v>
      </c>
      <c r="F1165" s="256"/>
      <c r="G1165" s="253"/>
      <c r="H1165" s="254" t="s">
        <v>165</v>
      </c>
      <c r="I1165" s="255" t="s">
        <v>164</v>
      </c>
      <c r="K1165" s="247"/>
      <c r="L1165" s="247"/>
    </row>
    <row r="1166">
      <c r="A1166" s="259"/>
      <c r="B1166" s="260"/>
      <c r="C1166" s="260"/>
      <c r="D1166" s="277" t="s">
        <v>160</v>
      </c>
      <c r="E1166" s="277">
        <v>1.0</v>
      </c>
      <c r="F1166" s="299"/>
      <c r="G1166" s="299"/>
      <c r="H1166" s="280" t="s">
        <v>161</v>
      </c>
      <c r="I1166" s="301" t="s">
        <v>145</v>
      </c>
      <c r="K1166" s="247"/>
      <c r="L1166" s="247"/>
    </row>
    <row r="1167">
      <c r="A1167" s="690" t="s">
        <v>870</v>
      </c>
      <c r="B1167" s="486" t="s">
        <v>871</v>
      </c>
      <c r="C1167" s="242">
        <f>sum(E1167:E1168)</f>
        <v>3</v>
      </c>
      <c r="D1167" s="251" t="s">
        <v>163</v>
      </c>
      <c r="E1167" s="251">
        <v>2.0</v>
      </c>
      <c r="F1167" s="256"/>
      <c r="G1167" s="253"/>
      <c r="H1167" s="254" t="s">
        <v>165</v>
      </c>
      <c r="I1167" s="255" t="s">
        <v>164</v>
      </c>
      <c r="K1167" s="247"/>
      <c r="L1167" s="247"/>
    </row>
    <row r="1168">
      <c r="A1168" s="259"/>
      <c r="B1168" s="260"/>
      <c r="C1168" s="260"/>
      <c r="D1168" s="277" t="s">
        <v>56</v>
      </c>
      <c r="E1168" s="277">
        <v>1.0</v>
      </c>
      <c r="F1168" s="315"/>
      <c r="G1168" s="316"/>
      <c r="H1168" s="280" t="s">
        <v>57</v>
      </c>
      <c r="I1168" s="281" t="s">
        <v>44</v>
      </c>
      <c r="K1168" s="247"/>
      <c r="L1168" s="247"/>
    </row>
    <row r="1169">
      <c r="A1169" s="681" t="s">
        <v>872</v>
      </c>
      <c r="B1169" s="710" t="s">
        <v>873</v>
      </c>
      <c r="C1169" s="242">
        <f>sum(E1169:E1170)</f>
        <v>3</v>
      </c>
      <c r="D1169" s="251" t="s">
        <v>160</v>
      </c>
      <c r="E1169" s="251">
        <v>1.0</v>
      </c>
      <c r="F1169" s="306"/>
      <c r="G1169" s="306"/>
      <c r="H1169" s="254" t="s">
        <v>161</v>
      </c>
      <c r="I1169" s="287" t="s">
        <v>145</v>
      </c>
      <c r="K1169" s="247"/>
      <c r="L1169" s="247"/>
    </row>
    <row r="1170">
      <c r="A1170" s="259"/>
      <c r="B1170" s="260"/>
      <c r="C1170" s="260"/>
      <c r="D1170" s="277" t="s">
        <v>18</v>
      </c>
      <c r="E1170" s="277">
        <v>2.0</v>
      </c>
      <c r="F1170" s="315"/>
      <c r="G1170" s="316"/>
      <c r="H1170" s="392" t="s">
        <v>322</v>
      </c>
      <c r="I1170" s="281" t="s">
        <v>8</v>
      </c>
      <c r="K1170" s="247"/>
      <c r="L1170" s="247"/>
    </row>
    <row r="1171">
      <c r="A1171" s="390" t="s">
        <v>874</v>
      </c>
      <c r="B1171" s="433" t="s">
        <v>875</v>
      </c>
      <c r="C1171" s="282">
        <f>sum(E1171:E1173)</f>
        <v>3</v>
      </c>
      <c r="D1171" s="264" t="s">
        <v>56</v>
      </c>
      <c r="E1171" s="264">
        <v>1.0</v>
      </c>
      <c r="F1171" s="330"/>
      <c r="G1171" s="305"/>
      <c r="H1171" s="285" t="s">
        <v>57</v>
      </c>
      <c r="I1171" s="286" t="s">
        <v>44</v>
      </c>
      <c r="K1171" s="247"/>
      <c r="L1171" s="247"/>
    </row>
    <row r="1172">
      <c r="A1172" s="248"/>
      <c r="D1172" s="306" t="s">
        <v>62</v>
      </c>
      <c r="E1172" s="306">
        <v>1.0</v>
      </c>
      <c r="F1172" s="274"/>
      <c r="G1172" s="274"/>
      <c r="H1172" s="275" t="s">
        <v>63</v>
      </c>
      <c r="I1172" s="255" t="s">
        <v>44</v>
      </c>
      <c r="K1172" s="247"/>
      <c r="L1172" s="247"/>
    </row>
    <row r="1173">
      <c r="A1173" s="259"/>
      <c r="B1173" s="260"/>
      <c r="C1173" s="260"/>
      <c r="D1173" s="277" t="s">
        <v>173</v>
      </c>
      <c r="E1173" s="277">
        <v>1.0</v>
      </c>
      <c r="F1173" s="315"/>
      <c r="G1173" s="316"/>
      <c r="H1173" s="280" t="s">
        <v>422</v>
      </c>
      <c r="I1173" s="255" t="s">
        <v>164</v>
      </c>
      <c r="K1173" s="247"/>
      <c r="L1173" s="247"/>
    </row>
    <row r="1174">
      <c r="A1174" s="261" t="s">
        <v>876</v>
      </c>
      <c r="B1174" s="262" t="s">
        <v>877</v>
      </c>
      <c r="C1174" s="282">
        <f>sum(E1174:E1175)</f>
        <v>3</v>
      </c>
      <c r="D1174" s="264" t="s">
        <v>59</v>
      </c>
      <c r="E1174" s="264">
        <v>1.0</v>
      </c>
      <c r="F1174" s="264"/>
      <c r="G1174" s="264"/>
      <c r="H1174" s="266" t="s">
        <v>60</v>
      </c>
      <c r="I1174" s="286" t="s">
        <v>44</v>
      </c>
      <c r="K1174" s="247"/>
      <c r="L1174" s="247"/>
    </row>
    <row r="1175">
      <c r="A1175" s="259"/>
      <c r="B1175" s="260"/>
      <c r="C1175" s="260"/>
      <c r="D1175" s="277" t="s">
        <v>163</v>
      </c>
      <c r="E1175" s="277">
        <v>2.0</v>
      </c>
      <c r="F1175" s="365"/>
      <c r="G1175" s="316"/>
      <c r="H1175" s="280" t="s">
        <v>165</v>
      </c>
      <c r="I1175" s="255" t="s">
        <v>164</v>
      </c>
      <c r="K1175" s="247"/>
      <c r="L1175" s="247"/>
    </row>
    <row r="1176">
      <c r="A1176" s="328" t="s">
        <v>878</v>
      </c>
      <c r="B1176" s="476" t="s">
        <v>879</v>
      </c>
      <c r="C1176" s="282">
        <f>sum(E1176:E1177)</f>
        <v>3</v>
      </c>
      <c r="D1176" s="264" t="s">
        <v>163</v>
      </c>
      <c r="E1176" s="264">
        <v>2.0</v>
      </c>
      <c r="F1176" s="374"/>
      <c r="G1176" s="305"/>
      <c r="H1176" s="285" t="s">
        <v>165</v>
      </c>
      <c r="I1176" s="286" t="s">
        <v>164</v>
      </c>
      <c r="K1176" s="247"/>
      <c r="L1176" s="247"/>
    </row>
    <row r="1177">
      <c r="A1177" s="259"/>
      <c r="B1177" s="260"/>
      <c r="C1177" s="260"/>
      <c r="D1177" s="489" t="s">
        <v>37</v>
      </c>
      <c r="E1177" s="489">
        <v>1.0</v>
      </c>
      <c r="F1177" s="490"/>
      <c r="G1177" s="491"/>
      <c r="H1177" s="492" t="s">
        <v>38</v>
      </c>
      <c r="I1177" s="493" t="s">
        <v>31</v>
      </c>
      <c r="K1177" s="247"/>
      <c r="L1177" s="247"/>
    </row>
    <row r="1178">
      <c r="A1178" s="261" t="s">
        <v>880</v>
      </c>
      <c r="B1178" s="262" t="s">
        <v>819</v>
      </c>
      <c r="C1178" s="673">
        <f>sum(E1178:E1179)</f>
        <v>3</v>
      </c>
      <c r="D1178" s="520" t="s">
        <v>183</v>
      </c>
      <c r="E1178" s="521">
        <v>2.0</v>
      </c>
      <c r="F1178" s="522"/>
      <c r="G1178" s="523"/>
      <c r="H1178" s="523" t="s">
        <v>184</v>
      </c>
      <c r="I1178" s="525" t="s">
        <v>177</v>
      </c>
      <c r="K1178" s="247"/>
      <c r="L1178" s="247"/>
    </row>
    <row r="1179">
      <c r="A1179" s="259"/>
      <c r="B1179" s="260"/>
      <c r="C1179" s="260"/>
      <c r="D1179" s="277" t="s">
        <v>186</v>
      </c>
      <c r="E1179" s="457">
        <v>1.0</v>
      </c>
      <c r="F1179" s="395"/>
      <c r="G1179" s="458"/>
      <c r="H1179" s="459" t="s">
        <v>188</v>
      </c>
      <c r="I1179" s="396" t="s">
        <v>187</v>
      </c>
      <c r="K1179" s="247"/>
      <c r="L1179" s="247"/>
    </row>
    <row r="1180">
      <c r="A1180" s="328" t="s">
        <v>881</v>
      </c>
      <c r="B1180" s="711" t="s">
        <v>882</v>
      </c>
      <c r="C1180" s="712">
        <f>sum(E1180)</f>
        <v>3</v>
      </c>
      <c r="D1180" s="640" t="s">
        <v>406</v>
      </c>
      <c r="E1180" s="640">
        <v>3.0</v>
      </c>
      <c r="F1180" s="641"/>
      <c r="G1180" s="642"/>
      <c r="H1180" s="713" t="s">
        <v>32</v>
      </c>
      <c r="I1180" s="428" t="s">
        <v>31</v>
      </c>
      <c r="K1180" s="247"/>
      <c r="L1180" s="247"/>
    </row>
    <row r="1181">
      <c r="A1181" s="261" t="s">
        <v>883</v>
      </c>
      <c r="B1181" s="262" t="s">
        <v>884</v>
      </c>
      <c r="C1181" s="673">
        <f>sum(E1181:E1182)</f>
        <v>3</v>
      </c>
      <c r="D1181" s="264" t="s">
        <v>163</v>
      </c>
      <c r="E1181" s="264">
        <v>2.0</v>
      </c>
      <c r="F1181" s="374"/>
      <c r="G1181" s="305"/>
      <c r="H1181" s="285" t="s">
        <v>165</v>
      </c>
      <c r="I1181" s="286" t="s">
        <v>164</v>
      </c>
      <c r="K1181" s="247"/>
      <c r="L1181" s="247"/>
    </row>
    <row r="1182">
      <c r="A1182" s="259"/>
      <c r="B1182" s="260"/>
      <c r="C1182" s="260"/>
      <c r="D1182" s="277" t="s">
        <v>121</v>
      </c>
      <c r="E1182" s="277">
        <v>1.0</v>
      </c>
      <c r="F1182" s="308"/>
      <c r="G1182" s="308"/>
      <c r="H1182" s="300" t="s">
        <v>328</v>
      </c>
      <c r="I1182" s="281" t="s">
        <v>106</v>
      </c>
      <c r="K1182" s="247"/>
      <c r="L1182" s="247"/>
    </row>
    <row r="1183">
      <c r="A1183" s="261" t="s">
        <v>885</v>
      </c>
      <c r="B1183" s="262" t="s">
        <v>886</v>
      </c>
      <c r="C1183" s="263">
        <f>sum(E1183:E1184)</f>
        <v>3</v>
      </c>
      <c r="D1183" s="264" t="s">
        <v>163</v>
      </c>
      <c r="E1183" s="264">
        <v>2.0</v>
      </c>
      <c r="F1183" s="374"/>
      <c r="G1183" s="305"/>
      <c r="H1183" s="285" t="s">
        <v>165</v>
      </c>
      <c r="I1183" s="286" t="s">
        <v>164</v>
      </c>
      <c r="K1183" s="247"/>
      <c r="L1183" s="247"/>
    </row>
    <row r="1184">
      <c r="A1184" s="259"/>
      <c r="B1184" s="260"/>
      <c r="C1184" s="260"/>
      <c r="D1184" s="415" t="s">
        <v>138</v>
      </c>
      <c r="E1184" s="416">
        <v>1.0</v>
      </c>
      <c r="F1184" s="417"/>
      <c r="G1184" s="418"/>
      <c r="H1184" s="419" t="s">
        <v>139</v>
      </c>
      <c r="I1184" s="420" t="s">
        <v>106</v>
      </c>
      <c r="K1184" s="247"/>
      <c r="L1184" s="247"/>
    </row>
    <row r="1185">
      <c r="A1185" s="366" t="s">
        <v>887</v>
      </c>
      <c r="B1185" s="329" t="s">
        <v>888</v>
      </c>
      <c r="C1185" s="282">
        <f t="shared" ref="C1185:C1187" si="1">sum(E1185)</f>
        <v>2</v>
      </c>
      <c r="D1185" s="265" t="s">
        <v>98</v>
      </c>
      <c r="E1185" s="265">
        <v>2.0</v>
      </c>
      <c r="F1185" s="332"/>
      <c r="G1185" s="332"/>
      <c r="H1185" s="333" t="s">
        <v>100</v>
      </c>
      <c r="I1185" s="286" t="s">
        <v>99</v>
      </c>
      <c r="K1185" s="247"/>
      <c r="L1185" s="247"/>
    </row>
    <row r="1186">
      <c r="A1186" s="328" t="s">
        <v>889</v>
      </c>
      <c r="B1186" s="329" t="s">
        <v>890</v>
      </c>
      <c r="C1186" s="282">
        <f t="shared" si="1"/>
        <v>2</v>
      </c>
      <c r="D1186" s="264" t="s">
        <v>20</v>
      </c>
      <c r="E1186" s="264">
        <v>2.0</v>
      </c>
      <c r="F1186" s="330"/>
      <c r="G1186" s="305"/>
      <c r="H1186" s="285" t="s">
        <v>21</v>
      </c>
      <c r="I1186" s="286" t="s">
        <v>8</v>
      </c>
      <c r="K1186" s="247"/>
      <c r="L1186" s="247"/>
    </row>
    <row r="1187">
      <c r="A1187" s="714" t="s">
        <v>891</v>
      </c>
      <c r="B1187" s="715" t="s">
        <v>892</v>
      </c>
      <c r="C1187" s="639">
        <f t="shared" si="1"/>
        <v>2</v>
      </c>
      <c r="D1187" s="640" t="s">
        <v>18</v>
      </c>
      <c r="E1187" s="640">
        <v>2.0</v>
      </c>
      <c r="F1187" s="641"/>
      <c r="G1187" s="642"/>
      <c r="H1187" s="716" t="s">
        <v>322</v>
      </c>
      <c r="I1187" s="717" t="s">
        <v>8</v>
      </c>
      <c r="K1187" s="247"/>
      <c r="L1187" s="247"/>
    </row>
    <row r="1188" ht="17.25" customHeight="1">
      <c r="A1188" s="718" t="s">
        <v>893</v>
      </c>
      <c r="B1188" s="719" t="s">
        <v>894</v>
      </c>
      <c r="C1188" s="673">
        <f>sum(E1188:E1189)</f>
        <v>2</v>
      </c>
      <c r="D1188" s="264" t="s">
        <v>186</v>
      </c>
      <c r="E1188" s="657">
        <v>1.0</v>
      </c>
      <c r="F1188" s="518"/>
      <c r="G1188" s="658"/>
      <c r="H1188" s="659" t="s">
        <v>188</v>
      </c>
      <c r="I1188" s="554" t="s">
        <v>187</v>
      </c>
      <c r="K1188" s="247"/>
      <c r="L1188" s="247"/>
    </row>
    <row r="1189" ht="17.25" customHeight="1">
      <c r="A1189" s="259"/>
      <c r="B1189" s="260"/>
      <c r="C1189" s="260"/>
      <c r="D1189" s="277" t="s">
        <v>141</v>
      </c>
      <c r="E1189" s="277">
        <v>1.0</v>
      </c>
      <c r="F1189" s="308"/>
      <c r="G1189" s="308"/>
      <c r="H1189" s="300" t="s">
        <v>142</v>
      </c>
      <c r="I1189" s="281" t="s">
        <v>106</v>
      </c>
      <c r="K1189" s="247"/>
      <c r="L1189" s="247"/>
    </row>
    <row r="1190">
      <c r="A1190" s="261" t="s">
        <v>895</v>
      </c>
      <c r="B1190" s="262" t="s">
        <v>896</v>
      </c>
      <c r="C1190" s="263">
        <f>sum(E1190:E1191)</f>
        <v>2</v>
      </c>
      <c r="D1190" s="264" t="s">
        <v>132</v>
      </c>
      <c r="E1190" s="264">
        <v>1.0</v>
      </c>
      <c r="F1190" s="330"/>
      <c r="G1190" s="305"/>
      <c r="H1190" s="285" t="s">
        <v>133</v>
      </c>
      <c r="I1190" s="286" t="s">
        <v>106</v>
      </c>
      <c r="K1190" s="247"/>
      <c r="L1190" s="247"/>
    </row>
    <row r="1191">
      <c r="A1191" s="259"/>
      <c r="B1191" s="260"/>
      <c r="C1191" s="260"/>
      <c r="D1191" s="361" t="s">
        <v>124</v>
      </c>
      <c r="E1191" s="362">
        <v>1.0</v>
      </c>
      <c r="F1191" s="105"/>
      <c r="G1191" s="114"/>
      <c r="H1191" s="114" t="s">
        <v>125</v>
      </c>
      <c r="I1191" s="255" t="s">
        <v>106</v>
      </c>
      <c r="K1191" s="247"/>
      <c r="L1191" s="247"/>
    </row>
    <row r="1192">
      <c r="A1192" s="261" t="s">
        <v>897</v>
      </c>
      <c r="B1192" s="262" t="s">
        <v>898</v>
      </c>
      <c r="C1192" s="263">
        <f>sum(E1192:E1193)</f>
        <v>2</v>
      </c>
      <c r="D1192" s="264" t="s">
        <v>132</v>
      </c>
      <c r="E1192" s="264">
        <v>1.0</v>
      </c>
      <c r="F1192" s="330"/>
      <c r="G1192" s="305"/>
      <c r="H1192" s="285" t="s">
        <v>133</v>
      </c>
      <c r="I1192" s="286" t="s">
        <v>106</v>
      </c>
      <c r="K1192" s="247"/>
      <c r="L1192" s="247"/>
    </row>
    <row r="1193">
      <c r="A1193" s="259"/>
      <c r="B1193" s="260"/>
      <c r="C1193" s="260"/>
      <c r="D1193" s="720" t="s">
        <v>86</v>
      </c>
      <c r="E1193" s="720">
        <v>1.0</v>
      </c>
      <c r="F1193" s="614"/>
      <c r="G1193" s="615"/>
      <c r="H1193" s="615" t="s">
        <v>87</v>
      </c>
      <c r="I1193" s="721" t="s">
        <v>66</v>
      </c>
      <c r="K1193" s="247"/>
      <c r="L1193" s="247"/>
    </row>
    <row r="1194">
      <c r="A1194" s="326" t="s">
        <v>899</v>
      </c>
      <c r="B1194" s="327" t="s">
        <v>305</v>
      </c>
      <c r="C1194" s="722">
        <f>sum(E1194:E1195)</f>
        <v>2</v>
      </c>
      <c r="D1194" s="306" t="s">
        <v>62</v>
      </c>
      <c r="E1194" s="306">
        <v>1.0</v>
      </c>
      <c r="F1194" s="274"/>
      <c r="G1194" s="274"/>
      <c r="H1194" s="275" t="s">
        <v>63</v>
      </c>
      <c r="I1194" s="255" t="s">
        <v>44</v>
      </c>
      <c r="K1194" s="247"/>
      <c r="L1194" s="247"/>
    </row>
    <row r="1195">
      <c r="A1195" s="259"/>
      <c r="B1195" s="260"/>
      <c r="C1195" s="260"/>
      <c r="D1195" s="277" t="s">
        <v>186</v>
      </c>
      <c r="E1195" s="457">
        <v>1.0</v>
      </c>
      <c r="F1195" s="395"/>
      <c r="G1195" s="458"/>
      <c r="H1195" s="459" t="s">
        <v>188</v>
      </c>
      <c r="I1195" s="396" t="s">
        <v>187</v>
      </c>
      <c r="K1195" s="247"/>
      <c r="L1195" s="247"/>
    </row>
    <row r="1196">
      <c r="A1196" s="486" t="s">
        <v>900</v>
      </c>
      <c r="B1196" s="487" t="s">
        <v>901</v>
      </c>
      <c r="C1196" s="673">
        <f t="shared" ref="C1196:C1223" si="2">sum(E1196)</f>
        <v>2</v>
      </c>
      <c r="D1196" s="264" t="s">
        <v>163</v>
      </c>
      <c r="E1196" s="264">
        <v>2.0</v>
      </c>
      <c r="F1196" s="374"/>
      <c r="G1196" s="305"/>
      <c r="H1196" s="285" t="s">
        <v>165</v>
      </c>
      <c r="I1196" s="286" t="s">
        <v>164</v>
      </c>
    </row>
    <row r="1197">
      <c r="A1197" s="328" t="s">
        <v>902</v>
      </c>
      <c r="B1197" s="262" t="s">
        <v>903</v>
      </c>
      <c r="C1197" s="282">
        <f t="shared" si="2"/>
        <v>1</v>
      </c>
      <c r="D1197" s="264" t="s">
        <v>285</v>
      </c>
      <c r="E1197" s="264">
        <v>1.0</v>
      </c>
      <c r="F1197" s="283"/>
      <c r="G1197" s="284"/>
      <c r="H1197" s="285" t="s">
        <v>116</v>
      </c>
      <c r="I1197" s="286" t="s">
        <v>106</v>
      </c>
      <c r="K1197" s="247"/>
      <c r="L1197" s="247"/>
    </row>
    <row r="1198">
      <c r="A1198" s="723" t="s">
        <v>904</v>
      </c>
      <c r="B1198" s="724" t="s">
        <v>905</v>
      </c>
      <c r="C1198" s="639">
        <f t="shared" si="2"/>
        <v>1</v>
      </c>
      <c r="D1198" s="725" t="s">
        <v>906</v>
      </c>
      <c r="E1198" s="726">
        <v>1.0</v>
      </c>
      <c r="F1198" s="641"/>
      <c r="G1198" s="642"/>
      <c r="H1198" s="727" t="s">
        <v>907</v>
      </c>
      <c r="I1198" s="717" t="s">
        <v>106</v>
      </c>
      <c r="K1198" s="247"/>
      <c r="L1198" s="247"/>
    </row>
    <row r="1199">
      <c r="A1199" s="261" t="s">
        <v>908</v>
      </c>
      <c r="B1199" s="303" t="s">
        <v>909</v>
      </c>
      <c r="C1199" s="673">
        <f t="shared" si="2"/>
        <v>1</v>
      </c>
      <c r="D1199" s="660" t="s">
        <v>124</v>
      </c>
      <c r="E1199" s="661">
        <v>1.0</v>
      </c>
      <c r="F1199" s="504"/>
      <c r="G1199" s="662"/>
      <c r="H1199" s="662" t="s">
        <v>125</v>
      </c>
      <c r="I1199" s="286" t="s">
        <v>106</v>
      </c>
      <c r="K1199" s="247"/>
      <c r="L1199" s="247"/>
    </row>
    <row r="1200">
      <c r="A1200" s="728" t="s">
        <v>910</v>
      </c>
      <c r="B1200" s="715" t="s">
        <v>640</v>
      </c>
      <c r="C1200" s="639">
        <f t="shared" si="2"/>
        <v>1</v>
      </c>
      <c r="D1200" s="729" t="s">
        <v>138</v>
      </c>
      <c r="E1200" s="730">
        <v>1.0</v>
      </c>
      <c r="F1200" s="731"/>
      <c r="G1200" s="732"/>
      <c r="H1200" s="733" t="s">
        <v>139</v>
      </c>
      <c r="I1200" s="644" t="s">
        <v>106</v>
      </c>
      <c r="K1200" s="247"/>
      <c r="L1200" s="247"/>
    </row>
    <row r="1201">
      <c r="A1201" s="734" t="s">
        <v>911</v>
      </c>
      <c r="B1201" s="735" t="s">
        <v>912</v>
      </c>
      <c r="C1201" s="736">
        <f t="shared" si="2"/>
        <v>0</v>
      </c>
      <c r="D1201" s="737" t="s">
        <v>913</v>
      </c>
      <c r="E1201" s="260"/>
      <c r="F1201" s="260"/>
      <c r="G1201" s="260"/>
      <c r="H1201" s="260"/>
      <c r="I1201" s="538"/>
      <c r="K1201" s="247"/>
      <c r="L1201" s="247"/>
    </row>
    <row r="1202">
      <c r="A1202" s="738" t="s">
        <v>914</v>
      </c>
      <c r="B1202" s="739" t="s">
        <v>915</v>
      </c>
      <c r="C1202" s="673">
        <f t="shared" si="2"/>
        <v>0</v>
      </c>
      <c r="D1202" s="740" t="s">
        <v>913</v>
      </c>
      <c r="I1202" s="331"/>
    </row>
    <row r="1203">
      <c r="A1203" s="728" t="s">
        <v>916</v>
      </c>
      <c r="B1203" s="741" t="s">
        <v>917</v>
      </c>
      <c r="C1203" s="639">
        <f t="shared" si="2"/>
        <v>0</v>
      </c>
      <c r="D1203" s="742" t="s">
        <v>913</v>
      </c>
      <c r="E1203" s="743"/>
      <c r="F1203" s="743"/>
      <c r="G1203" s="743"/>
      <c r="H1203" s="743"/>
      <c r="I1203" s="744"/>
    </row>
    <row r="1204">
      <c r="A1204" s="734" t="s">
        <v>918</v>
      </c>
      <c r="B1204" s="735" t="s">
        <v>502</v>
      </c>
      <c r="C1204" s="736">
        <f t="shared" si="2"/>
        <v>0</v>
      </c>
      <c r="D1204" s="745" t="s">
        <v>919</v>
      </c>
      <c r="E1204" s="260"/>
      <c r="F1204" s="260"/>
      <c r="G1204" s="260"/>
      <c r="H1204" s="260"/>
      <c r="I1204" s="538"/>
      <c r="K1204" s="247"/>
      <c r="L1204" s="247"/>
    </row>
    <row r="1205">
      <c r="A1205" s="302" t="s">
        <v>920</v>
      </c>
      <c r="B1205" s="329" t="s">
        <v>921</v>
      </c>
      <c r="C1205" s="746">
        <f t="shared" si="2"/>
        <v>0</v>
      </c>
      <c r="D1205" s="747" t="s">
        <v>922</v>
      </c>
      <c r="E1205" s="344"/>
      <c r="F1205" s="344"/>
      <c r="G1205" s="344"/>
      <c r="H1205" s="344"/>
      <c r="I1205" s="748"/>
      <c r="K1205" s="247"/>
      <c r="L1205" s="247"/>
    </row>
    <row r="1206">
      <c r="A1206" s="302" t="s">
        <v>923</v>
      </c>
      <c r="B1206" s="329" t="s">
        <v>924</v>
      </c>
      <c r="C1206" s="682">
        <f t="shared" si="2"/>
        <v>0</v>
      </c>
      <c r="D1206" s="747" t="s">
        <v>922</v>
      </c>
      <c r="E1206" s="344"/>
      <c r="F1206" s="344"/>
      <c r="G1206" s="344"/>
      <c r="H1206" s="344"/>
      <c r="I1206" s="748"/>
      <c r="K1206" s="247"/>
      <c r="L1206" s="247"/>
    </row>
    <row r="1207">
      <c r="A1207" s="714" t="s">
        <v>925</v>
      </c>
      <c r="B1207" s="715" t="s">
        <v>926</v>
      </c>
      <c r="C1207" s="712">
        <f t="shared" si="2"/>
        <v>0</v>
      </c>
      <c r="D1207" s="749" t="s">
        <v>922</v>
      </c>
      <c r="E1207" s="743"/>
      <c r="F1207" s="743"/>
      <c r="G1207" s="743"/>
      <c r="H1207" s="743"/>
      <c r="I1207" s="744"/>
      <c r="K1207" s="247"/>
      <c r="L1207" s="247"/>
    </row>
    <row r="1208">
      <c r="A1208" s="261" t="s">
        <v>927</v>
      </c>
      <c r="B1208" s="262" t="s">
        <v>675</v>
      </c>
      <c r="C1208" s="282">
        <f t="shared" si="2"/>
        <v>0</v>
      </c>
      <c r="D1208" s="747" t="s">
        <v>922</v>
      </c>
      <c r="E1208" s="344"/>
      <c r="F1208" s="344"/>
      <c r="G1208" s="344"/>
      <c r="H1208" s="344"/>
      <c r="I1208" s="748"/>
      <c r="J1208" s="642"/>
      <c r="K1208" s="750"/>
      <c r="L1208" s="750"/>
      <c r="M1208" s="642"/>
      <c r="N1208" s="642"/>
      <c r="O1208" s="642"/>
      <c r="P1208" s="642"/>
      <c r="Q1208" s="642"/>
      <c r="R1208" s="642"/>
      <c r="S1208" s="642"/>
      <c r="T1208" s="642"/>
      <c r="U1208" s="642"/>
      <c r="V1208" s="642"/>
      <c r="W1208" s="642"/>
      <c r="X1208" s="642"/>
      <c r="Y1208" s="642"/>
      <c r="Z1208" s="642"/>
      <c r="AA1208" s="642"/>
      <c r="AB1208" s="642"/>
      <c r="AC1208" s="751"/>
    </row>
    <row r="1209">
      <c r="A1209" s="261" t="s">
        <v>928</v>
      </c>
      <c r="B1209" s="262" t="s">
        <v>929</v>
      </c>
      <c r="C1209" s="282">
        <f t="shared" si="2"/>
        <v>0</v>
      </c>
      <c r="D1209" s="747" t="s">
        <v>922</v>
      </c>
      <c r="E1209" s="344"/>
      <c r="F1209" s="344"/>
      <c r="G1209" s="344"/>
      <c r="H1209" s="344"/>
      <c r="I1209" s="748"/>
      <c r="K1209" s="247"/>
      <c r="L1209" s="247"/>
    </row>
    <row r="1210">
      <c r="A1210" s="637" t="s">
        <v>930</v>
      </c>
      <c r="B1210" s="638" t="s">
        <v>679</v>
      </c>
      <c r="C1210" s="712">
        <f t="shared" si="2"/>
        <v>0</v>
      </c>
      <c r="D1210" s="749" t="s">
        <v>931</v>
      </c>
      <c r="E1210" s="743"/>
      <c r="F1210" s="743"/>
      <c r="G1210" s="743"/>
      <c r="H1210" s="743"/>
      <c r="I1210" s="744"/>
      <c r="K1210" s="247"/>
      <c r="L1210" s="247"/>
    </row>
    <row r="1211">
      <c r="A1211" s="637" t="s">
        <v>932</v>
      </c>
      <c r="B1211" s="638" t="s">
        <v>933</v>
      </c>
      <c r="C1211" s="712">
        <f t="shared" si="2"/>
        <v>0</v>
      </c>
      <c r="D1211" s="749" t="s">
        <v>922</v>
      </c>
      <c r="E1211" s="743"/>
      <c r="F1211" s="743"/>
      <c r="G1211" s="743"/>
      <c r="H1211" s="743"/>
      <c r="I1211" s="744"/>
      <c r="K1211" s="247"/>
      <c r="L1211" s="247"/>
    </row>
    <row r="1212">
      <c r="A1212" s="752" t="s">
        <v>934</v>
      </c>
      <c r="B1212" s="753" t="s">
        <v>545</v>
      </c>
      <c r="C1212" s="673">
        <f t="shared" si="2"/>
        <v>0</v>
      </c>
      <c r="D1212" s="754" t="s">
        <v>922</v>
      </c>
      <c r="E1212" s="344"/>
      <c r="F1212" s="344"/>
      <c r="G1212" s="344"/>
      <c r="H1212" s="344"/>
      <c r="I1212" s="748"/>
      <c r="K1212" s="247"/>
      <c r="L1212" s="247"/>
    </row>
    <row r="1213">
      <c r="A1213" s="261" t="s">
        <v>935</v>
      </c>
      <c r="B1213" s="262" t="s">
        <v>936</v>
      </c>
      <c r="C1213" s="673">
        <f t="shared" si="2"/>
        <v>0</v>
      </c>
      <c r="D1213" s="754" t="s">
        <v>922</v>
      </c>
      <c r="E1213" s="344"/>
      <c r="F1213" s="344"/>
      <c r="G1213" s="344"/>
      <c r="H1213" s="344"/>
      <c r="I1213" s="748"/>
      <c r="K1213" s="247"/>
      <c r="L1213" s="247"/>
    </row>
    <row r="1214">
      <c r="A1214" s="261" t="s">
        <v>937</v>
      </c>
      <c r="B1214" s="303" t="s">
        <v>938</v>
      </c>
      <c r="C1214" s="673">
        <f t="shared" si="2"/>
        <v>0</v>
      </c>
      <c r="D1214" s="754" t="s">
        <v>922</v>
      </c>
      <c r="E1214" s="344"/>
      <c r="F1214" s="344"/>
      <c r="G1214" s="344"/>
      <c r="H1214" s="344"/>
      <c r="I1214" s="748"/>
      <c r="K1214" s="247"/>
      <c r="L1214" s="247"/>
    </row>
    <row r="1215">
      <c r="A1215" s="728" t="s">
        <v>939</v>
      </c>
      <c r="B1215" s="715" t="s">
        <v>940</v>
      </c>
      <c r="C1215" s="639">
        <f t="shared" si="2"/>
        <v>0</v>
      </c>
      <c r="D1215" s="755" t="s">
        <v>922</v>
      </c>
      <c r="E1215" s="743"/>
      <c r="F1215" s="743"/>
      <c r="G1215" s="743"/>
      <c r="H1215" s="743"/>
      <c r="I1215" s="744"/>
      <c r="K1215" s="247"/>
      <c r="L1215" s="247"/>
    </row>
    <row r="1216">
      <c r="A1216" s="327" t="s">
        <v>941</v>
      </c>
      <c r="B1216" s="327" t="s">
        <v>698</v>
      </c>
      <c r="C1216" s="722">
        <f t="shared" si="2"/>
        <v>0</v>
      </c>
      <c r="D1216" s="756" t="s">
        <v>922</v>
      </c>
      <c r="I1216" s="331"/>
      <c r="K1216" s="247"/>
      <c r="L1216" s="247"/>
    </row>
    <row r="1217">
      <c r="A1217" s="757" t="s">
        <v>942</v>
      </c>
      <c r="B1217" s="758" t="s">
        <v>943</v>
      </c>
      <c r="C1217" s="673">
        <f t="shared" si="2"/>
        <v>0</v>
      </c>
      <c r="D1217" s="754" t="s">
        <v>922</v>
      </c>
      <c r="E1217" s="344"/>
      <c r="F1217" s="344"/>
      <c r="G1217" s="344"/>
      <c r="H1217" s="344"/>
      <c r="I1217" s="748"/>
      <c r="J1217" s="274"/>
      <c r="K1217" s="274"/>
      <c r="L1217" s="274"/>
      <c r="M1217" s="274"/>
      <c r="N1217" s="274"/>
      <c r="O1217" s="274"/>
      <c r="P1217" s="274"/>
      <c r="Q1217" s="274"/>
      <c r="R1217" s="274"/>
      <c r="S1217" s="274"/>
      <c r="T1217" s="274"/>
      <c r="U1217" s="274"/>
      <c r="V1217" s="274"/>
      <c r="W1217" s="274"/>
      <c r="X1217" s="274"/>
      <c r="Y1217" s="274"/>
      <c r="Z1217" s="274"/>
      <c r="AA1217" s="274"/>
      <c r="AB1217" s="274"/>
      <c r="AC1217" s="274"/>
    </row>
    <row r="1218">
      <c r="A1218" s="261" t="s">
        <v>944</v>
      </c>
      <c r="B1218" s="262" t="s">
        <v>945</v>
      </c>
      <c r="C1218" s="673">
        <f t="shared" si="2"/>
        <v>0</v>
      </c>
      <c r="D1218" s="754" t="s">
        <v>922</v>
      </c>
      <c r="E1218" s="344"/>
      <c r="F1218" s="344"/>
      <c r="G1218" s="344"/>
      <c r="H1218" s="344"/>
      <c r="I1218" s="748"/>
      <c r="K1218" s="247"/>
      <c r="L1218" s="247"/>
    </row>
    <row r="1219">
      <c r="A1219" s="261" t="s">
        <v>946</v>
      </c>
      <c r="B1219" s="262" t="s">
        <v>947</v>
      </c>
      <c r="C1219" s="673">
        <f t="shared" si="2"/>
        <v>0</v>
      </c>
      <c r="D1219" s="754" t="s">
        <v>922</v>
      </c>
      <c r="E1219" s="344"/>
      <c r="F1219" s="344"/>
      <c r="G1219" s="344"/>
      <c r="H1219" s="344"/>
      <c r="I1219" s="748"/>
      <c r="K1219" s="247"/>
      <c r="L1219" s="247"/>
    </row>
    <row r="1220">
      <c r="A1220" s="327" t="s">
        <v>948</v>
      </c>
      <c r="B1220" s="327" t="s">
        <v>949</v>
      </c>
      <c r="C1220" s="673">
        <f t="shared" si="2"/>
        <v>0</v>
      </c>
      <c r="D1220" s="754" t="s">
        <v>922</v>
      </c>
      <c r="E1220" s="344"/>
      <c r="F1220" s="344"/>
      <c r="G1220" s="344"/>
      <c r="H1220" s="344"/>
      <c r="I1220" s="748"/>
      <c r="K1220" s="247"/>
      <c r="L1220" s="247"/>
    </row>
    <row r="1221">
      <c r="A1221" s="327" t="s">
        <v>950</v>
      </c>
      <c r="B1221" s="327" t="s">
        <v>951</v>
      </c>
      <c r="C1221" s="673">
        <f t="shared" si="2"/>
        <v>0</v>
      </c>
      <c r="D1221" s="754" t="s">
        <v>922</v>
      </c>
      <c r="E1221" s="344"/>
      <c r="F1221" s="344"/>
      <c r="G1221" s="344"/>
      <c r="H1221" s="344"/>
      <c r="I1221" s="748"/>
      <c r="K1221" s="247"/>
      <c r="L1221" s="247"/>
    </row>
    <row r="1222">
      <c r="A1222" s="486" t="s">
        <v>952</v>
      </c>
      <c r="B1222" s="487" t="s">
        <v>953</v>
      </c>
      <c r="C1222" s="673">
        <f t="shared" si="2"/>
        <v>0</v>
      </c>
      <c r="D1222" s="754" t="s">
        <v>922</v>
      </c>
      <c r="E1222" s="344"/>
      <c r="F1222" s="344"/>
      <c r="G1222" s="344"/>
      <c r="H1222" s="344"/>
      <c r="I1222" s="748"/>
    </row>
    <row r="1223">
      <c r="A1223" s="738" t="s">
        <v>954</v>
      </c>
      <c r="B1223" s="738" t="s">
        <v>432</v>
      </c>
      <c r="C1223" s="673">
        <f t="shared" si="2"/>
        <v>0</v>
      </c>
      <c r="D1223" s="754" t="s">
        <v>922</v>
      </c>
      <c r="E1223" s="344"/>
      <c r="F1223" s="344"/>
      <c r="G1223" s="344"/>
      <c r="H1223" s="344"/>
      <c r="I1223" s="748"/>
    </row>
    <row r="1224">
      <c r="A1224" s="356"/>
      <c r="B1224" s="759"/>
      <c r="D1224" s="251"/>
      <c r="E1224" s="251"/>
      <c r="F1224" s="252"/>
      <c r="H1224" s="254"/>
      <c r="I1224" s="760"/>
    </row>
    <row r="1225">
      <c r="A1225" s="356"/>
      <c r="B1225" s="759"/>
      <c r="D1225" s="251"/>
      <c r="E1225" s="251"/>
      <c r="F1225" s="252"/>
      <c r="H1225" s="254"/>
      <c r="I1225" s="760"/>
    </row>
    <row r="1226">
      <c r="A1226" s="356"/>
      <c r="B1226" s="759"/>
      <c r="D1226" s="251"/>
      <c r="E1226" s="251"/>
      <c r="F1226" s="252"/>
      <c r="H1226" s="254"/>
      <c r="I1226" s="760"/>
    </row>
    <row r="1227">
      <c r="A1227" s="356"/>
      <c r="B1227" s="759"/>
      <c r="D1227" s="251"/>
      <c r="E1227" s="251"/>
      <c r="F1227" s="252"/>
      <c r="H1227" s="254"/>
      <c r="I1227" s="760"/>
    </row>
    <row r="1228">
      <c r="A1228" s="356"/>
      <c r="B1228" s="759"/>
      <c r="D1228" s="251"/>
      <c r="E1228" s="251"/>
      <c r="F1228" s="252"/>
      <c r="H1228" s="254"/>
      <c r="I1228" s="760"/>
    </row>
    <row r="1229">
      <c r="A1229" s="356"/>
      <c r="B1229" s="759"/>
      <c r="D1229" s="251"/>
      <c r="E1229" s="251"/>
      <c r="F1229" s="252"/>
      <c r="H1229" s="254"/>
      <c r="I1229" s="760"/>
    </row>
    <row r="1230">
      <c r="A1230" s="356"/>
      <c r="B1230" s="759"/>
      <c r="D1230" s="251"/>
      <c r="E1230" s="251"/>
      <c r="F1230" s="252"/>
      <c r="H1230" s="254"/>
      <c r="I1230" s="760"/>
    </row>
    <row r="1231">
      <c r="A1231" s="356"/>
      <c r="B1231" s="759"/>
      <c r="D1231" s="251"/>
      <c r="E1231" s="251"/>
      <c r="F1231" s="252"/>
      <c r="H1231" s="254"/>
      <c r="I1231" s="760"/>
    </row>
    <row r="1232">
      <c r="A1232" s="356"/>
      <c r="B1232" s="759"/>
      <c r="D1232" s="251"/>
      <c r="E1232" s="251"/>
      <c r="F1232" s="252"/>
      <c r="H1232" s="254"/>
      <c r="I1232" s="760"/>
    </row>
    <row r="1233">
      <c r="A1233" s="356"/>
      <c r="B1233" s="759"/>
      <c r="D1233" s="251"/>
      <c r="E1233" s="251"/>
      <c r="F1233" s="252"/>
      <c r="H1233" s="254"/>
      <c r="I1233" s="760"/>
    </row>
    <row r="1234">
      <c r="A1234" s="356"/>
      <c r="B1234" s="759"/>
      <c r="D1234" s="251"/>
      <c r="E1234" s="251"/>
      <c r="F1234" s="252"/>
      <c r="H1234" s="254"/>
      <c r="I1234" s="760"/>
    </row>
    <row r="1235">
      <c r="A1235" s="356"/>
      <c r="B1235" s="759"/>
      <c r="D1235" s="251"/>
      <c r="E1235" s="251"/>
      <c r="F1235" s="252"/>
      <c r="H1235" s="254"/>
      <c r="I1235" s="760"/>
    </row>
    <row r="1236">
      <c r="A1236" s="356"/>
      <c r="B1236" s="759"/>
      <c r="D1236" s="251"/>
      <c r="E1236" s="251"/>
      <c r="F1236" s="252"/>
      <c r="H1236" s="254"/>
      <c r="I1236" s="760"/>
    </row>
    <row r="1237">
      <c r="A1237" s="356"/>
      <c r="B1237" s="759"/>
      <c r="D1237" s="251"/>
      <c r="E1237" s="251"/>
      <c r="F1237" s="252"/>
      <c r="H1237" s="254"/>
      <c r="I1237" s="760"/>
    </row>
    <row r="1238">
      <c r="A1238" s="356"/>
      <c r="B1238" s="759"/>
      <c r="D1238" s="251"/>
      <c r="E1238" s="251"/>
      <c r="F1238" s="252"/>
      <c r="H1238" s="254"/>
      <c r="I1238" s="760"/>
    </row>
    <row r="1239">
      <c r="A1239" s="356"/>
      <c r="B1239" s="759"/>
      <c r="D1239" s="251"/>
      <c r="E1239" s="251"/>
      <c r="F1239" s="252"/>
      <c r="H1239" s="254"/>
      <c r="I1239" s="760"/>
    </row>
    <row r="1240">
      <c r="A1240" s="356"/>
      <c r="B1240" s="759"/>
      <c r="D1240" s="251"/>
      <c r="E1240" s="251"/>
      <c r="F1240" s="252"/>
      <c r="H1240" s="254"/>
      <c r="I1240" s="760"/>
    </row>
    <row r="1241">
      <c r="A1241" s="356"/>
      <c r="B1241" s="759"/>
      <c r="D1241" s="251"/>
      <c r="E1241" s="251"/>
      <c r="F1241" s="252"/>
      <c r="H1241" s="254"/>
      <c r="I1241" s="760"/>
    </row>
    <row r="1242">
      <c r="A1242" s="356"/>
      <c r="B1242" s="759"/>
      <c r="D1242" s="251"/>
      <c r="E1242" s="251"/>
      <c r="F1242" s="252"/>
      <c r="H1242" s="254"/>
      <c r="I1242" s="760"/>
    </row>
    <row r="1243">
      <c r="A1243" s="356"/>
      <c r="B1243" s="759"/>
      <c r="D1243" s="251"/>
      <c r="E1243" s="251"/>
      <c r="F1243" s="252"/>
      <c r="H1243" s="254"/>
      <c r="I1243" s="760"/>
    </row>
    <row r="1244">
      <c r="A1244" s="356"/>
      <c r="B1244" s="759"/>
      <c r="D1244" s="251"/>
      <c r="E1244" s="251"/>
      <c r="F1244" s="252"/>
      <c r="H1244" s="254"/>
      <c r="I1244" s="760"/>
    </row>
    <row r="1245">
      <c r="A1245" s="356"/>
      <c r="B1245" s="759"/>
      <c r="D1245" s="251"/>
      <c r="E1245" s="251"/>
      <c r="F1245" s="252"/>
      <c r="H1245" s="254"/>
      <c r="I1245" s="760"/>
    </row>
    <row r="1246">
      <c r="A1246" s="356"/>
      <c r="B1246" s="759"/>
      <c r="D1246" s="251"/>
      <c r="E1246" s="251"/>
      <c r="F1246" s="252"/>
      <c r="H1246" s="254"/>
      <c r="I1246" s="760"/>
    </row>
    <row r="1247">
      <c r="A1247" s="356"/>
      <c r="B1247" s="759"/>
      <c r="D1247" s="251"/>
      <c r="E1247" s="251"/>
      <c r="F1247" s="252"/>
      <c r="H1247" s="254"/>
      <c r="I1247" s="760"/>
    </row>
    <row r="1248">
      <c r="A1248" s="356"/>
      <c r="B1248" s="759"/>
      <c r="D1248" s="251"/>
      <c r="E1248" s="251"/>
      <c r="F1248" s="252"/>
      <c r="H1248" s="254"/>
      <c r="I1248" s="760"/>
    </row>
    <row r="1249">
      <c r="A1249" s="356"/>
      <c r="B1249" s="759"/>
      <c r="D1249" s="251"/>
      <c r="E1249" s="251"/>
      <c r="F1249" s="252"/>
      <c r="H1249" s="254"/>
      <c r="I1249" s="760"/>
    </row>
    <row r="1250">
      <c r="A1250" s="356"/>
      <c r="B1250" s="759"/>
      <c r="D1250" s="251"/>
      <c r="E1250" s="251"/>
      <c r="F1250" s="252"/>
      <c r="H1250" s="254"/>
      <c r="I1250" s="760"/>
    </row>
    <row r="1251">
      <c r="A1251" s="356"/>
      <c r="B1251" s="759"/>
      <c r="D1251" s="251"/>
      <c r="E1251" s="251"/>
      <c r="F1251" s="252"/>
      <c r="H1251" s="254"/>
      <c r="I1251" s="760"/>
    </row>
    <row r="1252">
      <c r="A1252" s="356"/>
      <c r="B1252" s="759"/>
      <c r="D1252" s="251"/>
      <c r="E1252" s="251"/>
      <c r="F1252" s="252"/>
      <c r="H1252" s="254"/>
      <c r="I1252" s="760"/>
    </row>
    <row r="1253">
      <c r="A1253" s="356"/>
      <c r="B1253" s="759"/>
      <c r="D1253" s="251"/>
      <c r="E1253" s="251"/>
      <c r="F1253" s="252"/>
      <c r="H1253" s="254"/>
      <c r="I1253" s="760"/>
    </row>
    <row r="1254">
      <c r="A1254" s="356"/>
      <c r="B1254" s="759"/>
      <c r="D1254" s="251"/>
      <c r="E1254" s="251"/>
      <c r="F1254" s="252"/>
      <c r="H1254" s="254"/>
      <c r="I1254" s="760"/>
    </row>
    <row r="1255">
      <c r="A1255" s="356"/>
      <c r="B1255" s="759"/>
      <c r="D1255" s="251"/>
      <c r="E1255" s="251"/>
      <c r="F1255" s="252"/>
      <c r="H1255" s="254"/>
      <c r="I1255" s="760"/>
    </row>
    <row r="1256">
      <c r="A1256" s="356"/>
      <c r="B1256" s="759"/>
      <c r="D1256" s="251"/>
      <c r="E1256" s="251"/>
      <c r="F1256" s="252"/>
      <c r="H1256" s="254"/>
      <c r="I1256" s="760"/>
    </row>
    <row r="1257">
      <c r="A1257" s="356"/>
      <c r="B1257" s="759"/>
      <c r="D1257" s="251"/>
      <c r="E1257" s="251"/>
      <c r="F1257" s="252"/>
      <c r="H1257" s="254"/>
      <c r="I1257" s="760"/>
    </row>
    <row r="1258">
      <c r="A1258" s="356"/>
      <c r="B1258" s="759"/>
      <c r="D1258" s="251"/>
      <c r="E1258" s="251"/>
      <c r="F1258" s="252"/>
      <c r="H1258" s="254"/>
      <c r="I1258" s="760"/>
    </row>
    <row r="1259">
      <c r="A1259" s="356"/>
      <c r="B1259" s="759"/>
      <c r="D1259" s="251"/>
      <c r="E1259" s="251"/>
      <c r="F1259" s="252"/>
      <c r="H1259" s="254"/>
      <c r="I1259" s="760"/>
    </row>
    <row r="1260">
      <c r="A1260" s="356"/>
      <c r="B1260" s="759"/>
      <c r="D1260" s="251"/>
      <c r="E1260" s="251"/>
      <c r="F1260" s="252"/>
      <c r="H1260" s="254"/>
      <c r="I1260" s="760"/>
    </row>
    <row r="1261">
      <c r="A1261" s="356"/>
      <c r="B1261" s="759"/>
      <c r="D1261" s="251"/>
      <c r="E1261" s="251"/>
      <c r="F1261" s="252"/>
      <c r="H1261" s="254"/>
      <c r="I1261" s="760"/>
    </row>
    <row r="1262">
      <c r="A1262" s="356"/>
      <c r="B1262" s="759"/>
      <c r="D1262" s="251"/>
      <c r="E1262" s="251"/>
      <c r="F1262" s="252"/>
      <c r="H1262" s="254"/>
      <c r="I1262" s="760"/>
    </row>
    <row r="1263">
      <c r="A1263" s="356"/>
      <c r="B1263" s="759"/>
      <c r="D1263" s="251"/>
      <c r="E1263" s="251"/>
      <c r="F1263" s="252"/>
      <c r="H1263" s="254"/>
      <c r="I1263" s="760"/>
    </row>
    <row r="1264">
      <c r="A1264" s="356"/>
      <c r="B1264" s="759"/>
      <c r="D1264" s="251"/>
      <c r="E1264" s="251"/>
      <c r="F1264" s="252"/>
      <c r="H1264" s="254"/>
      <c r="I1264" s="760"/>
    </row>
    <row r="1265">
      <c r="A1265" s="356"/>
      <c r="B1265" s="759"/>
      <c r="D1265" s="251"/>
      <c r="E1265" s="251"/>
      <c r="F1265" s="252"/>
      <c r="H1265" s="254"/>
      <c r="I1265" s="760"/>
    </row>
    <row r="1266">
      <c r="A1266" s="356"/>
      <c r="B1266" s="759"/>
      <c r="D1266" s="251"/>
      <c r="E1266" s="251"/>
      <c r="F1266" s="252"/>
      <c r="H1266" s="254"/>
      <c r="I1266" s="760"/>
    </row>
    <row r="1267">
      <c r="A1267" s="356"/>
      <c r="B1267" s="759"/>
      <c r="D1267" s="251"/>
      <c r="E1267" s="251"/>
      <c r="F1267" s="252"/>
      <c r="H1267" s="254"/>
      <c r="I1267" s="760"/>
    </row>
    <row r="1268">
      <c r="A1268" s="356"/>
      <c r="B1268" s="759"/>
      <c r="D1268" s="251"/>
      <c r="E1268" s="251"/>
      <c r="F1268" s="252"/>
      <c r="H1268" s="254"/>
      <c r="I1268" s="760"/>
    </row>
    <row r="1269">
      <c r="A1269" s="356"/>
      <c r="B1269" s="759"/>
      <c r="D1269" s="251"/>
      <c r="E1269" s="251"/>
      <c r="F1269" s="252"/>
      <c r="H1269" s="254"/>
      <c r="I1269" s="760"/>
    </row>
    <row r="1270">
      <c r="A1270" s="356"/>
      <c r="B1270" s="759"/>
      <c r="D1270" s="251"/>
      <c r="E1270" s="251"/>
      <c r="F1270" s="252"/>
      <c r="H1270" s="254"/>
      <c r="I1270" s="760"/>
    </row>
    <row r="1271">
      <c r="A1271" s="356"/>
      <c r="B1271" s="759"/>
      <c r="D1271" s="251"/>
      <c r="E1271" s="251"/>
      <c r="F1271" s="252"/>
      <c r="H1271" s="254"/>
      <c r="I1271" s="760"/>
    </row>
    <row r="1272">
      <c r="A1272" s="356"/>
      <c r="B1272" s="759"/>
      <c r="D1272" s="251"/>
      <c r="E1272" s="251"/>
      <c r="F1272" s="252"/>
      <c r="H1272" s="254"/>
      <c r="I1272" s="760"/>
    </row>
    <row r="1273">
      <c r="A1273" s="356"/>
      <c r="B1273" s="759"/>
      <c r="D1273" s="251"/>
      <c r="E1273" s="251"/>
      <c r="F1273" s="252"/>
      <c r="H1273" s="254"/>
      <c r="I1273" s="760"/>
    </row>
    <row r="1274">
      <c r="A1274" s="356"/>
      <c r="B1274" s="759"/>
      <c r="D1274" s="251"/>
      <c r="E1274" s="251"/>
      <c r="F1274" s="252"/>
      <c r="H1274" s="254"/>
      <c r="I1274" s="760"/>
    </row>
    <row r="1275">
      <c r="A1275" s="356"/>
      <c r="B1275" s="759"/>
      <c r="D1275" s="251"/>
      <c r="E1275" s="251"/>
      <c r="F1275" s="252"/>
      <c r="H1275" s="254"/>
      <c r="I1275" s="760"/>
    </row>
    <row r="1276">
      <c r="A1276" s="356"/>
      <c r="B1276" s="759"/>
      <c r="D1276" s="251"/>
      <c r="E1276" s="251"/>
      <c r="F1276" s="252"/>
      <c r="H1276" s="254"/>
      <c r="I1276" s="760"/>
    </row>
    <row r="1277">
      <c r="A1277" s="356"/>
      <c r="B1277" s="759"/>
      <c r="D1277" s="251"/>
      <c r="E1277" s="251"/>
      <c r="F1277" s="252"/>
      <c r="H1277" s="254"/>
      <c r="I1277" s="760"/>
    </row>
    <row r="1278">
      <c r="A1278" s="356"/>
      <c r="B1278" s="759"/>
      <c r="D1278" s="251"/>
      <c r="E1278" s="251"/>
      <c r="F1278" s="252"/>
      <c r="H1278" s="254"/>
      <c r="I1278" s="760"/>
    </row>
    <row r="1279">
      <c r="A1279" s="356"/>
      <c r="B1279" s="759"/>
      <c r="D1279" s="251"/>
      <c r="E1279" s="251"/>
      <c r="F1279" s="252"/>
      <c r="H1279" s="254"/>
      <c r="I1279" s="760"/>
    </row>
    <row r="1280">
      <c r="A1280" s="356"/>
      <c r="B1280" s="759"/>
      <c r="D1280" s="251"/>
      <c r="E1280" s="251"/>
      <c r="F1280" s="252"/>
      <c r="H1280" s="254"/>
      <c r="I1280" s="760"/>
    </row>
    <row r="1281">
      <c r="A1281" s="356"/>
      <c r="B1281" s="759"/>
      <c r="D1281" s="251"/>
      <c r="E1281" s="251"/>
      <c r="F1281" s="252"/>
      <c r="H1281" s="254"/>
      <c r="I1281" s="760"/>
    </row>
    <row r="1282">
      <c r="A1282" s="356"/>
      <c r="B1282" s="759"/>
      <c r="D1282" s="251"/>
      <c r="E1282" s="251"/>
      <c r="F1282" s="252"/>
      <c r="H1282" s="254"/>
      <c r="I1282" s="760"/>
    </row>
    <row r="1283">
      <c r="A1283" s="356"/>
      <c r="B1283" s="759"/>
      <c r="D1283" s="251"/>
      <c r="E1283" s="251"/>
      <c r="F1283" s="252"/>
      <c r="H1283" s="254"/>
      <c r="I1283" s="760"/>
    </row>
    <row r="1284">
      <c r="A1284" s="356"/>
      <c r="B1284" s="759"/>
      <c r="D1284" s="251"/>
      <c r="E1284" s="251"/>
      <c r="F1284" s="252"/>
      <c r="H1284" s="254"/>
      <c r="I1284" s="760"/>
    </row>
    <row r="1285">
      <c r="A1285" s="356"/>
      <c r="B1285" s="759"/>
      <c r="D1285" s="251"/>
      <c r="E1285" s="251"/>
      <c r="F1285" s="252"/>
      <c r="H1285" s="254"/>
      <c r="I1285" s="760"/>
    </row>
    <row r="1286">
      <c r="A1286" s="356"/>
      <c r="B1286" s="759"/>
      <c r="D1286" s="251"/>
      <c r="E1286" s="251"/>
      <c r="F1286" s="252"/>
      <c r="H1286" s="254"/>
      <c r="I1286" s="760"/>
    </row>
    <row r="1287">
      <c r="A1287" s="356"/>
      <c r="B1287" s="759"/>
      <c r="D1287" s="251"/>
      <c r="E1287" s="251"/>
      <c r="F1287" s="252"/>
      <c r="H1287" s="254"/>
      <c r="I1287" s="760"/>
    </row>
    <row r="1288">
      <c r="A1288" s="356"/>
      <c r="B1288" s="759"/>
      <c r="D1288" s="251"/>
      <c r="E1288" s="251"/>
      <c r="F1288" s="252"/>
      <c r="H1288" s="254"/>
      <c r="I1288" s="760"/>
    </row>
    <row r="1289">
      <c r="A1289" s="356"/>
      <c r="B1289" s="759"/>
      <c r="D1289" s="251"/>
      <c r="E1289" s="251"/>
      <c r="F1289" s="252"/>
      <c r="H1289" s="254"/>
      <c r="I1289" s="760"/>
    </row>
    <row r="1290">
      <c r="A1290" s="356"/>
      <c r="B1290" s="759"/>
      <c r="D1290" s="251"/>
      <c r="E1290" s="251"/>
      <c r="F1290" s="252"/>
      <c r="H1290" s="254"/>
      <c r="I1290" s="760"/>
    </row>
    <row r="1291">
      <c r="A1291" s="356"/>
      <c r="B1291" s="759"/>
      <c r="D1291" s="251"/>
      <c r="E1291" s="251"/>
      <c r="F1291" s="252"/>
      <c r="H1291" s="254"/>
      <c r="I1291" s="760"/>
    </row>
    <row r="1292">
      <c r="A1292" s="356"/>
      <c r="B1292" s="759"/>
      <c r="D1292" s="251"/>
      <c r="E1292" s="251"/>
      <c r="F1292" s="252"/>
      <c r="H1292" s="254"/>
      <c r="I1292" s="760"/>
    </row>
    <row r="1293">
      <c r="A1293" s="356"/>
      <c r="B1293" s="759"/>
      <c r="D1293" s="251"/>
      <c r="E1293" s="251"/>
      <c r="F1293" s="252"/>
      <c r="H1293" s="254"/>
      <c r="I1293" s="760"/>
    </row>
    <row r="1294">
      <c r="A1294" s="356"/>
      <c r="B1294" s="759"/>
      <c r="D1294" s="251"/>
      <c r="E1294" s="251"/>
      <c r="F1294" s="252"/>
      <c r="H1294" s="254"/>
      <c r="I1294" s="760"/>
    </row>
    <row r="1295">
      <c r="A1295" s="356"/>
      <c r="B1295" s="759"/>
      <c r="D1295" s="251"/>
      <c r="E1295" s="251"/>
      <c r="F1295" s="252"/>
      <c r="H1295" s="254"/>
      <c r="I1295" s="760"/>
    </row>
    <row r="1296">
      <c r="A1296" s="356"/>
      <c r="B1296" s="759"/>
      <c r="D1296" s="251"/>
      <c r="E1296" s="251"/>
      <c r="F1296" s="252"/>
      <c r="H1296" s="254"/>
      <c r="I1296" s="760"/>
    </row>
    <row r="1297">
      <c r="A1297" s="356"/>
      <c r="B1297" s="759"/>
      <c r="D1297" s="251"/>
      <c r="E1297" s="251"/>
      <c r="F1297" s="252"/>
      <c r="H1297" s="254"/>
      <c r="I1297" s="760"/>
    </row>
    <row r="1298">
      <c r="A1298" s="356"/>
      <c r="B1298" s="759"/>
      <c r="D1298" s="251"/>
      <c r="E1298" s="251"/>
      <c r="F1298" s="252"/>
      <c r="H1298" s="254"/>
      <c r="I1298" s="760"/>
    </row>
    <row r="1299">
      <c r="A1299" s="356"/>
      <c r="B1299" s="759"/>
      <c r="D1299" s="251"/>
      <c r="E1299" s="251"/>
      <c r="F1299" s="252"/>
      <c r="H1299" s="254"/>
      <c r="I1299" s="760"/>
    </row>
    <row r="1300">
      <c r="A1300" s="356"/>
      <c r="B1300" s="759"/>
      <c r="D1300" s="251"/>
      <c r="E1300" s="251"/>
      <c r="F1300" s="252"/>
      <c r="H1300" s="254"/>
      <c r="I1300" s="760"/>
    </row>
    <row r="1301">
      <c r="A1301" s="356"/>
      <c r="B1301" s="759"/>
      <c r="D1301" s="251"/>
      <c r="E1301" s="251"/>
      <c r="F1301" s="252"/>
      <c r="H1301" s="254"/>
      <c r="I1301" s="760"/>
    </row>
    <row r="1302">
      <c r="A1302" s="356"/>
      <c r="B1302" s="759"/>
      <c r="D1302" s="251"/>
      <c r="E1302" s="251"/>
      <c r="F1302" s="252"/>
      <c r="H1302" s="254"/>
      <c r="I1302" s="760"/>
    </row>
    <row r="1303">
      <c r="A1303" s="356"/>
      <c r="B1303" s="759"/>
      <c r="D1303" s="251"/>
      <c r="E1303" s="251"/>
      <c r="F1303" s="252"/>
      <c r="H1303" s="254"/>
      <c r="I1303" s="760"/>
    </row>
    <row r="1304">
      <c r="A1304" s="356"/>
      <c r="B1304" s="759"/>
      <c r="D1304" s="251"/>
      <c r="E1304" s="251"/>
      <c r="F1304" s="252"/>
      <c r="H1304" s="254"/>
      <c r="I1304" s="760"/>
    </row>
    <row r="1305">
      <c r="A1305" s="356"/>
      <c r="B1305" s="759"/>
      <c r="D1305" s="251"/>
      <c r="E1305" s="251"/>
      <c r="F1305" s="252"/>
      <c r="H1305" s="254"/>
      <c r="I1305" s="760"/>
    </row>
    <row r="1306">
      <c r="A1306" s="356"/>
      <c r="B1306" s="759"/>
      <c r="D1306" s="251"/>
      <c r="E1306" s="251"/>
      <c r="F1306" s="252"/>
      <c r="H1306" s="254"/>
      <c r="I1306" s="760"/>
    </row>
    <row r="1307">
      <c r="A1307" s="356"/>
      <c r="B1307" s="759"/>
      <c r="D1307" s="251"/>
      <c r="E1307" s="251"/>
      <c r="F1307" s="252"/>
      <c r="H1307" s="254"/>
      <c r="I1307" s="760"/>
    </row>
    <row r="1308">
      <c r="A1308" s="356"/>
      <c r="B1308" s="759"/>
      <c r="D1308" s="251"/>
      <c r="E1308" s="251"/>
      <c r="F1308" s="252"/>
      <c r="H1308" s="254"/>
      <c r="I1308" s="760"/>
    </row>
    <row r="1309">
      <c r="A1309" s="356"/>
      <c r="B1309" s="759"/>
      <c r="D1309" s="251"/>
      <c r="E1309" s="251"/>
      <c r="F1309" s="252"/>
      <c r="H1309" s="254"/>
      <c r="I1309" s="760"/>
    </row>
    <row r="1310">
      <c r="A1310" s="356"/>
      <c r="B1310" s="759"/>
      <c r="D1310" s="251"/>
      <c r="E1310" s="251"/>
      <c r="F1310" s="252"/>
      <c r="H1310" s="254"/>
      <c r="I1310" s="760"/>
    </row>
    <row r="1311">
      <c r="A1311" s="356"/>
      <c r="B1311" s="759"/>
      <c r="D1311" s="251"/>
      <c r="E1311" s="251"/>
      <c r="F1311" s="252"/>
      <c r="H1311" s="254"/>
      <c r="I1311" s="760"/>
    </row>
    <row r="1312">
      <c r="A1312" s="356"/>
      <c r="B1312" s="759"/>
      <c r="D1312" s="251"/>
      <c r="E1312" s="251"/>
      <c r="F1312" s="252"/>
      <c r="H1312" s="254"/>
      <c r="I1312" s="760"/>
    </row>
    <row r="1313">
      <c r="A1313" s="356"/>
      <c r="B1313" s="759"/>
      <c r="D1313" s="251"/>
      <c r="E1313" s="251"/>
      <c r="F1313" s="252"/>
      <c r="H1313" s="254"/>
      <c r="I1313" s="760"/>
    </row>
    <row r="1314">
      <c r="A1314" s="356"/>
      <c r="B1314" s="759"/>
      <c r="D1314" s="251"/>
      <c r="E1314" s="251"/>
      <c r="F1314" s="252"/>
      <c r="H1314" s="254"/>
      <c r="I1314" s="760"/>
    </row>
    <row r="1315">
      <c r="A1315" s="356"/>
      <c r="B1315" s="759"/>
      <c r="D1315" s="251"/>
      <c r="E1315" s="251"/>
      <c r="F1315" s="252"/>
      <c r="H1315" s="254"/>
      <c r="I1315" s="760"/>
    </row>
    <row r="1316">
      <c r="A1316" s="356"/>
      <c r="B1316" s="759"/>
      <c r="D1316" s="251"/>
      <c r="E1316" s="251"/>
      <c r="F1316" s="252"/>
      <c r="H1316" s="254"/>
      <c r="I1316" s="760"/>
    </row>
    <row r="1317">
      <c r="A1317" s="356"/>
      <c r="B1317" s="759"/>
      <c r="D1317" s="251"/>
      <c r="E1317" s="251"/>
      <c r="F1317" s="252"/>
      <c r="H1317" s="254"/>
      <c r="I1317" s="760"/>
    </row>
    <row r="1318">
      <c r="A1318" s="356"/>
      <c r="B1318" s="759"/>
      <c r="D1318" s="251"/>
      <c r="E1318" s="251"/>
      <c r="F1318" s="252"/>
      <c r="H1318" s="254"/>
      <c r="I1318" s="760"/>
    </row>
    <row r="1319">
      <c r="A1319" s="356"/>
      <c r="B1319" s="759"/>
      <c r="D1319" s="251"/>
      <c r="E1319" s="251"/>
      <c r="F1319" s="252"/>
      <c r="H1319" s="254"/>
      <c r="I1319" s="760"/>
    </row>
    <row r="1320">
      <c r="A1320" s="356"/>
      <c r="B1320" s="759"/>
      <c r="D1320" s="251"/>
      <c r="E1320" s="251"/>
      <c r="F1320" s="252"/>
      <c r="H1320" s="254"/>
      <c r="I1320" s="760"/>
    </row>
    <row r="1321">
      <c r="A1321" s="356"/>
      <c r="B1321" s="759"/>
      <c r="D1321" s="251"/>
      <c r="E1321" s="251"/>
      <c r="F1321" s="252"/>
      <c r="H1321" s="254"/>
      <c r="I1321" s="760"/>
    </row>
    <row r="1322">
      <c r="A1322" s="356"/>
      <c r="B1322" s="759"/>
      <c r="D1322" s="251"/>
      <c r="E1322" s="251"/>
      <c r="F1322" s="252"/>
      <c r="H1322" s="254"/>
      <c r="I1322" s="760"/>
    </row>
    <row r="1323">
      <c r="A1323" s="356"/>
      <c r="B1323" s="759"/>
      <c r="D1323" s="251"/>
      <c r="E1323" s="251"/>
      <c r="F1323" s="252"/>
      <c r="H1323" s="254"/>
      <c r="I1323" s="760"/>
    </row>
    <row r="1324">
      <c r="A1324" s="356"/>
      <c r="B1324" s="759"/>
      <c r="D1324" s="251"/>
      <c r="E1324" s="251"/>
      <c r="F1324" s="252"/>
      <c r="H1324" s="254"/>
      <c r="I1324" s="760"/>
    </row>
    <row r="1325">
      <c r="A1325" s="356"/>
      <c r="B1325" s="759"/>
      <c r="D1325" s="251"/>
      <c r="E1325" s="251"/>
      <c r="F1325" s="252"/>
      <c r="H1325" s="254"/>
      <c r="I1325" s="760"/>
    </row>
    <row r="1326">
      <c r="A1326" s="356"/>
      <c r="B1326" s="759"/>
      <c r="D1326" s="251"/>
      <c r="E1326" s="251"/>
      <c r="F1326" s="252"/>
      <c r="H1326" s="254"/>
      <c r="I1326" s="760"/>
    </row>
    <row r="1327">
      <c r="A1327" s="356"/>
      <c r="B1327" s="759"/>
      <c r="D1327" s="251"/>
      <c r="E1327" s="251"/>
      <c r="F1327" s="252"/>
      <c r="H1327" s="254"/>
      <c r="I1327" s="760"/>
    </row>
    <row r="1328">
      <c r="A1328" s="356"/>
      <c r="B1328" s="759"/>
      <c r="D1328" s="251"/>
      <c r="E1328" s="251"/>
      <c r="F1328" s="252"/>
      <c r="H1328" s="254"/>
      <c r="I1328" s="760"/>
    </row>
    <row r="1329">
      <c r="A1329" s="356"/>
      <c r="B1329" s="759"/>
      <c r="D1329" s="251"/>
      <c r="E1329" s="251"/>
      <c r="F1329" s="252"/>
      <c r="H1329" s="254"/>
      <c r="I1329" s="760"/>
    </row>
    <row r="1330">
      <c r="A1330" s="356"/>
      <c r="B1330" s="759"/>
      <c r="D1330" s="251"/>
      <c r="E1330" s="251"/>
      <c r="F1330" s="252"/>
      <c r="H1330" s="254"/>
      <c r="I1330" s="760"/>
    </row>
    <row r="1331">
      <c r="A1331" s="356"/>
      <c r="B1331" s="759"/>
      <c r="D1331" s="251"/>
      <c r="E1331" s="251"/>
      <c r="F1331" s="252"/>
      <c r="H1331" s="254"/>
      <c r="I1331" s="760"/>
    </row>
    <row r="1332">
      <c r="A1332" s="356"/>
      <c r="B1332" s="759"/>
      <c r="D1332" s="251"/>
      <c r="E1332" s="251"/>
      <c r="F1332" s="252"/>
      <c r="H1332" s="254"/>
      <c r="I1332" s="760"/>
    </row>
    <row r="1333">
      <c r="A1333" s="356"/>
      <c r="B1333" s="759"/>
      <c r="D1333" s="251"/>
      <c r="E1333" s="251"/>
      <c r="F1333" s="252"/>
      <c r="H1333" s="254"/>
      <c r="I1333" s="760"/>
    </row>
    <row r="1334">
      <c r="A1334" s="356"/>
      <c r="B1334" s="759"/>
      <c r="D1334" s="251"/>
      <c r="E1334" s="251"/>
      <c r="F1334" s="252"/>
      <c r="H1334" s="254"/>
      <c r="I1334" s="760"/>
    </row>
    <row r="1335">
      <c r="A1335" s="356"/>
      <c r="B1335" s="759"/>
      <c r="D1335" s="251"/>
      <c r="E1335" s="251"/>
      <c r="F1335" s="252"/>
      <c r="H1335" s="254"/>
      <c r="I1335" s="760"/>
    </row>
    <row r="1336">
      <c r="A1336" s="356"/>
      <c r="B1336" s="759"/>
      <c r="D1336" s="251"/>
      <c r="E1336" s="251"/>
      <c r="F1336" s="252"/>
      <c r="H1336" s="254"/>
      <c r="I1336" s="760"/>
    </row>
    <row r="1337">
      <c r="A1337" s="356"/>
      <c r="B1337" s="759"/>
      <c r="D1337" s="251"/>
      <c r="E1337" s="251"/>
      <c r="F1337" s="252"/>
      <c r="H1337" s="254"/>
      <c r="I1337" s="760"/>
    </row>
    <row r="1338">
      <c r="A1338" s="356"/>
      <c r="B1338" s="759"/>
      <c r="D1338" s="251"/>
      <c r="E1338" s="251"/>
      <c r="F1338" s="252"/>
      <c r="H1338" s="254"/>
      <c r="I1338" s="760"/>
    </row>
    <row r="1339">
      <c r="A1339" s="356"/>
      <c r="B1339" s="759"/>
      <c r="D1339" s="251"/>
      <c r="E1339" s="251"/>
      <c r="F1339" s="252"/>
      <c r="H1339" s="254"/>
      <c r="I1339" s="760"/>
    </row>
    <row r="1340">
      <c r="A1340" s="356"/>
      <c r="B1340" s="759"/>
      <c r="D1340" s="251"/>
      <c r="E1340" s="251"/>
      <c r="F1340" s="252"/>
      <c r="H1340" s="254"/>
      <c r="I1340" s="760"/>
    </row>
    <row r="1341">
      <c r="A1341" s="356"/>
      <c r="B1341" s="759"/>
      <c r="D1341" s="251"/>
      <c r="E1341" s="251"/>
      <c r="F1341" s="252"/>
      <c r="H1341" s="254"/>
      <c r="I1341" s="760"/>
    </row>
    <row r="1342">
      <c r="A1342" s="356"/>
      <c r="B1342" s="759"/>
      <c r="D1342" s="251"/>
      <c r="E1342" s="251"/>
      <c r="F1342" s="252"/>
      <c r="H1342" s="254"/>
      <c r="I1342" s="760"/>
    </row>
    <row r="1343">
      <c r="A1343" s="356"/>
      <c r="B1343" s="759"/>
      <c r="D1343" s="251"/>
      <c r="E1343" s="251"/>
      <c r="F1343" s="252"/>
      <c r="H1343" s="254"/>
      <c r="I1343" s="760"/>
    </row>
    <row r="1344">
      <c r="A1344" s="356"/>
      <c r="B1344" s="759"/>
      <c r="D1344" s="251"/>
      <c r="E1344" s="251"/>
      <c r="F1344" s="252"/>
      <c r="H1344" s="254"/>
      <c r="I1344" s="760"/>
    </row>
    <row r="1345">
      <c r="A1345" s="356"/>
      <c r="B1345" s="759"/>
      <c r="D1345" s="251"/>
      <c r="E1345" s="251"/>
      <c r="F1345" s="252"/>
      <c r="H1345" s="254"/>
      <c r="I1345" s="760"/>
    </row>
    <row r="1346">
      <c r="A1346" s="356"/>
      <c r="B1346" s="759"/>
      <c r="D1346" s="251"/>
      <c r="E1346" s="251"/>
      <c r="F1346" s="252"/>
      <c r="H1346" s="254"/>
      <c r="I1346" s="760"/>
    </row>
    <row r="1347">
      <c r="A1347" s="356"/>
      <c r="B1347" s="759"/>
      <c r="D1347" s="251"/>
      <c r="E1347" s="251"/>
      <c r="F1347" s="252"/>
      <c r="H1347" s="254"/>
      <c r="I1347" s="760"/>
    </row>
    <row r="1348">
      <c r="A1348" s="356"/>
      <c r="B1348" s="759"/>
      <c r="D1348" s="251"/>
      <c r="E1348" s="251"/>
      <c r="F1348" s="252"/>
      <c r="H1348" s="254"/>
      <c r="I1348" s="760"/>
    </row>
    <row r="1349">
      <c r="A1349" s="356"/>
      <c r="B1349" s="759"/>
      <c r="D1349" s="251"/>
      <c r="E1349" s="251"/>
      <c r="F1349" s="252"/>
      <c r="H1349" s="254"/>
      <c r="I1349" s="760"/>
    </row>
    <row r="1350">
      <c r="A1350" s="356"/>
      <c r="B1350" s="759"/>
      <c r="D1350" s="251"/>
      <c r="E1350" s="251"/>
      <c r="F1350" s="252"/>
      <c r="H1350" s="254"/>
      <c r="I1350" s="760"/>
    </row>
    <row r="1351">
      <c r="A1351" s="356"/>
      <c r="B1351" s="759"/>
      <c r="D1351" s="251"/>
      <c r="E1351" s="251"/>
      <c r="F1351" s="252"/>
      <c r="H1351" s="254"/>
      <c r="I1351" s="760"/>
    </row>
    <row r="1352">
      <c r="A1352" s="356"/>
      <c r="B1352" s="759"/>
      <c r="D1352" s="251"/>
      <c r="E1352" s="251"/>
      <c r="F1352" s="252"/>
      <c r="H1352" s="254"/>
      <c r="I1352" s="760"/>
    </row>
    <row r="1353">
      <c r="A1353" s="356"/>
      <c r="B1353" s="759"/>
      <c r="D1353" s="251"/>
      <c r="E1353" s="251"/>
      <c r="F1353" s="252"/>
      <c r="H1353" s="254"/>
      <c r="I1353" s="760"/>
    </row>
    <row r="1354">
      <c r="A1354" s="356"/>
      <c r="B1354" s="759"/>
      <c r="D1354" s="251"/>
      <c r="E1354" s="251"/>
      <c r="F1354" s="252"/>
      <c r="H1354" s="254"/>
      <c r="I1354" s="760"/>
    </row>
    <row r="1355">
      <c r="A1355" s="356"/>
      <c r="B1355" s="759"/>
      <c r="D1355" s="251"/>
      <c r="E1355" s="251"/>
      <c r="F1355" s="252"/>
      <c r="H1355" s="254"/>
      <c r="I1355" s="760"/>
    </row>
    <row r="1356">
      <c r="A1356" s="356"/>
      <c r="B1356" s="759"/>
      <c r="D1356" s="251"/>
      <c r="E1356" s="251"/>
      <c r="F1356" s="252"/>
      <c r="H1356" s="254"/>
      <c r="I1356" s="760"/>
    </row>
    <row r="1357">
      <c r="A1357" s="356"/>
      <c r="B1357" s="759"/>
      <c r="D1357" s="251"/>
      <c r="E1357" s="251"/>
      <c r="F1357" s="252"/>
      <c r="H1357" s="254"/>
      <c r="I1357" s="760"/>
    </row>
    <row r="1358">
      <c r="A1358" s="356"/>
      <c r="B1358" s="759"/>
      <c r="D1358" s="251"/>
      <c r="E1358" s="251"/>
      <c r="F1358" s="252"/>
      <c r="H1358" s="254"/>
      <c r="I1358" s="760"/>
    </row>
    <row r="1359">
      <c r="A1359" s="356"/>
      <c r="B1359" s="759"/>
      <c r="D1359" s="251"/>
      <c r="E1359" s="251"/>
      <c r="F1359" s="252"/>
      <c r="H1359" s="254"/>
      <c r="I1359" s="760"/>
    </row>
    <row r="1360">
      <c r="A1360" s="356"/>
      <c r="B1360" s="759"/>
      <c r="D1360" s="251"/>
      <c r="E1360" s="251"/>
      <c r="F1360" s="252"/>
      <c r="H1360" s="254"/>
      <c r="I1360" s="760"/>
    </row>
    <row r="1361">
      <c r="A1361" s="356"/>
      <c r="B1361" s="759"/>
      <c r="D1361" s="251"/>
      <c r="E1361" s="251"/>
      <c r="F1361" s="252"/>
      <c r="H1361" s="254"/>
      <c r="I1361" s="760"/>
    </row>
    <row r="1362">
      <c r="A1362" s="356"/>
      <c r="B1362" s="759"/>
      <c r="D1362" s="251"/>
      <c r="E1362" s="251"/>
      <c r="F1362" s="252"/>
      <c r="H1362" s="254"/>
      <c r="I1362" s="760"/>
    </row>
    <row r="1363">
      <c r="A1363" s="356"/>
      <c r="B1363" s="759"/>
      <c r="D1363" s="251"/>
      <c r="E1363" s="251"/>
      <c r="F1363" s="252"/>
      <c r="H1363" s="254"/>
      <c r="I1363" s="760"/>
    </row>
    <row r="1364">
      <c r="A1364" s="356"/>
      <c r="B1364" s="759"/>
      <c r="D1364" s="251"/>
      <c r="E1364" s="251"/>
      <c r="F1364" s="252"/>
      <c r="H1364" s="254"/>
      <c r="I1364" s="760"/>
    </row>
    <row r="1365">
      <c r="A1365" s="356"/>
      <c r="B1365" s="759"/>
      <c r="D1365" s="251"/>
      <c r="E1365" s="251"/>
      <c r="F1365" s="252"/>
      <c r="H1365" s="254"/>
      <c r="I1365" s="760"/>
    </row>
    <row r="1366">
      <c r="A1366" s="356"/>
      <c r="B1366" s="759"/>
      <c r="D1366" s="251"/>
      <c r="E1366" s="251"/>
      <c r="F1366" s="252"/>
      <c r="H1366" s="254"/>
      <c r="I1366" s="760"/>
    </row>
    <row r="1367">
      <c r="A1367" s="356"/>
      <c r="B1367" s="759"/>
      <c r="D1367" s="251"/>
      <c r="E1367" s="251"/>
      <c r="F1367" s="252"/>
      <c r="H1367" s="254"/>
      <c r="I1367" s="760"/>
    </row>
    <row r="1368">
      <c r="A1368" s="356"/>
      <c r="B1368" s="759"/>
      <c r="D1368" s="251"/>
      <c r="E1368" s="251"/>
      <c r="F1368" s="252"/>
      <c r="H1368" s="254"/>
      <c r="I1368" s="760"/>
    </row>
    <row r="1369">
      <c r="A1369" s="356"/>
      <c r="B1369" s="759"/>
      <c r="D1369" s="251"/>
      <c r="E1369" s="251"/>
      <c r="F1369" s="252"/>
      <c r="H1369" s="254"/>
      <c r="I1369" s="760"/>
    </row>
    <row r="1370">
      <c r="A1370" s="356"/>
      <c r="B1370" s="759"/>
      <c r="D1370" s="251"/>
      <c r="E1370" s="251"/>
      <c r="F1370" s="252"/>
      <c r="H1370" s="254"/>
      <c r="I1370" s="760"/>
    </row>
    <row r="1371">
      <c r="A1371" s="356"/>
      <c r="B1371" s="759"/>
      <c r="D1371" s="251"/>
      <c r="E1371" s="251"/>
      <c r="F1371" s="252"/>
      <c r="H1371" s="254"/>
      <c r="I1371" s="760"/>
    </row>
    <row r="1372">
      <c r="A1372" s="356"/>
      <c r="B1372" s="759"/>
      <c r="D1372" s="251"/>
      <c r="E1372" s="251"/>
      <c r="F1372" s="252"/>
      <c r="H1372" s="254"/>
      <c r="I1372" s="760"/>
    </row>
    <row r="1373">
      <c r="A1373" s="356"/>
      <c r="B1373" s="759"/>
      <c r="D1373" s="251"/>
      <c r="E1373" s="251"/>
      <c r="F1373" s="252"/>
      <c r="H1373" s="254"/>
      <c r="I1373" s="760"/>
    </row>
    <row r="1374">
      <c r="A1374" s="356"/>
      <c r="B1374" s="759"/>
      <c r="D1374" s="251"/>
      <c r="E1374" s="251"/>
      <c r="F1374" s="252"/>
      <c r="H1374" s="254"/>
      <c r="I1374" s="760"/>
    </row>
    <row r="1375">
      <c r="A1375" s="356"/>
      <c r="B1375" s="759"/>
      <c r="D1375" s="251"/>
      <c r="E1375" s="251"/>
      <c r="F1375" s="252"/>
      <c r="H1375" s="254"/>
      <c r="I1375" s="760"/>
    </row>
    <row r="1376">
      <c r="A1376" s="356"/>
      <c r="B1376" s="759"/>
      <c r="D1376" s="251"/>
      <c r="E1376" s="251"/>
      <c r="F1376" s="252"/>
      <c r="H1376" s="254"/>
      <c r="I1376" s="760"/>
    </row>
    <row r="1377">
      <c r="A1377" s="356"/>
      <c r="B1377" s="759"/>
      <c r="D1377" s="251"/>
      <c r="E1377" s="251"/>
      <c r="F1377" s="252"/>
      <c r="H1377" s="254"/>
      <c r="I1377" s="760"/>
    </row>
    <row r="1378">
      <c r="A1378" s="356"/>
      <c r="B1378" s="759"/>
      <c r="D1378" s="251"/>
      <c r="E1378" s="251"/>
      <c r="F1378" s="252"/>
      <c r="H1378" s="254"/>
      <c r="I1378" s="760"/>
    </row>
    <row r="1379">
      <c r="A1379" s="356"/>
      <c r="B1379" s="759"/>
      <c r="D1379" s="251"/>
      <c r="E1379" s="251"/>
      <c r="F1379" s="252"/>
      <c r="H1379" s="254"/>
      <c r="I1379" s="760"/>
    </row>
    <row r="1380">
      <c r="A1380" s="356"/>
      <c r="B1380" s="759"/>
      <c r="D1380" s="251"/>
      <c r="E1380" s="251"/>
      <c r="F1380" s="252"/>
      <c r="H1380" s="254"/>
      <c r="I1380" s="760"/>
    </row>
    <row r="1381">
      <c r="A1381" s="356"/>
      <c r="B1381" s="759"/>
      <c r="D1381" s="251"/>
      <c r="E1381" s="251"/>
      <c r="F1381" s="252"/>
      <c r="H1381" s="254"/>
      <c r="I1381" s="760"/>
    </row>
    <row r="1382">
      <c r="A1382" s="356"/>
      <c r="B1382" s="759"/>
      <c r="D1382" s="251"/>
      <c r="E1382" s="251"/>
      <c r="F1382" s="252"/>
      <c r="H1382" s="254"/>
      <c r="I1382" s="760"/>
    </row>
    <row r="1383">
      <c r="A1383" s="356"/>
      <c r="B1383" s="759"/>
      <c r="D1383" s="251"/>
      <c r="E1383" s="251"/>
      <c r="F1383" s="252"/>
      <c r="H1383" s="254"/>
      <c r="I1383" s="760"/>
    </row>
    <row r="1384">
      <c r="A1384" s="356"/>
      <c r="B1384" s="759"/>
      <c r="D1384" s="251"/>
      <c r="E1384" s="251"/>
      <c r="F1384" s="252"/>
      <c r="H1384" s="254"/>
      <c r="I1384" s="760"/>
    </row>
    <row r="1385">
      <c r="A1385" s="356"/>
      <c r="B1385" s="759"/>
      <c r="D1385" s="251"/>
      <c r="E1385" s="251"/>
      <c r="F1385" s="252"/>
      <c r="H1385" s="254"/>
      <c r="I1385" s="760"/>
    </row>
    <row r="1386">
      <c r="A1386" s="356"/>
      <c r="B1386" s="759"/>
      <c r="D1386" s="251"/>
      <c r="E1386" s="251"/>
      <c r="F1386" s="252"/>
      <c r="H1386" s="254"/>
      <c r="I1386" s="760"/>
    </row>
    <row r="1387">
      <c r="A1387" s="356"/>
      <c r="B1387" s="759"/>
      <c r="D1387" s="251"/>
      <c r="E1387" s="251"/>
      <c r="F1387" s="252"/>
      <c r="H1387" s="254"/>
      <c r="I1387" s="760"/>
    </row>
    <row r="1388">
      <c r="A1388" s="356"/>
      <c r="B1388" s="759"/>
      <c r="D1388" s="251"/>
      <c r="E1388" s="251"/>
      <c r="F1388" s="252"/>
      <c r="H1388" s="254"/>
      <c r="I1388" s="760"/>
    </row>
    <row r="1389">
      <c r="A1389" s="356"/>
      <c r="B1389" s="759"/>
      <c r="D1389" s="251"/>
      <c r="E1389" s="251"/>
      <c r="F1389" s="252"/>
      <c r="H1389" s="254"/>
      <c r="I1389" s="760"/>
    </row>
    <row r="1390">
      <c r="A1390" s="356"/>
      <c r="B1390" s="759"/>
      <c r="D1390" s="251"/>
      <c r="E1390" s="251"/>
      <c r="F1390" s="252"/>
      <c r="H1390" s="254"/>
      <c r="I1390" s="760"/>
    </row>
    <row r="1391">
      <c r="A1391" s="356"/>
      <c r="B1391" s="759"/>
      <c r="D1391" s="251"/>
      <c r="E1391" s="251"/>
      <c r="F1391" s="252"/>
      <c r="H1391" s="254"/>
      <c r="I1391" s="760"/>
    </row>
    <row r="1392">
      <c r="A1392" s="356"/>
      <c r="B1392" s="759"/>
      <c r="D1392" s="251"/>
      <c r="E1392" s="251"/>
      <c r="F1392" s="252"/>
      <c r="H1392" s="254"/>
      <c r="I1392" s="760"/>
    </row>
    <row r="1393">
      <c r="A1393" s="356"/>
      <c r="B1393" s="759"/>
      <c r="D1393" s="251"/>
      <c r="E1393" s="251"/>
      <c r="F1393" s="252"/>
      <c r="H1393" s="254"/>
      <c r="I1393" s="760"/>
    </row>
    <row r="1394">
      <c r="A1394" s="356"/>
      <c r="B1394" s="759"/>
      <c r="D1394" s="251"/>
      <c r="E1394" s="251"/>
      <c r="F1394" s="252"/>
      <c r="H1394" s="254"/>
      <c r="I1394" s="760"/>
    </row>
    <row r="1395">
      <c r="A1395" s="356"/>
      <c r="B1395" s="759"/>
      <c r="D1395" s="251"/>
      <c r="E1395" s="251"/>
      <c r="F1395" s="252"/>
      <c r="H1395" s="254"/>
      <c r="I1395" s="760"/>
    </row>
    <row r="1396">
      <c r="A1396" s="356"/>
      <c r="B1396" s="759"/>
      <c r="D1396" s="251"/>
      <c r="E1396" s="251"/>
      <c r="F1396" s="252"/>
      <c r="H1396" s="254"/>
      <c r="I1396" s="760"/>
    </row>
    <row r="1397">
      <c r="A1397" s="356"/>
      <c r="B1397" s="759"/>
      <c r="D1397" s="251"/>
      <c r="E1397" s="251"/>
      <c r="F1397" s="252"/>
      <c r="H1397" s="254"/>
      <c r="I1397" s="760"/>
    </row>
    <row r="1398">
      <c r="A1398" s="356"/>
      <c r="B1398" s="759"/>
      <c r="D1398" s="251"/>
      <c r="E1398" s="251"/>
      <c r="F1398" s="252"/>
      <c r="H1398" s="254"/>
      <c r="I1398" s="760"/>
    </row>
    <row r="1399">
      <c r="A1399" s="356"/>
      <c r="B1399" s="759"/>
      <c r="D1399" s="251"/>
      <c r="E1399" s="251"/>
      <c r="F1399" s="252"/>
      <c r="H1399" s="254"/>
      <c r="I1399" s="760"/>
    </row>
    <row r="1400">
      <c r="A1400" s="356"/>
      <c r="B1400" s="759"/>
      <c r="D1400" s="251"/>
      <c r="E1400" s="251"/>
      <c r="F1400" s="252"/>
      <c r="H1400" s="254"/>
      <c r="I1400" s="760"/>
    </row>
    <row r="1401">
      <c r="A1401" s="356"/>
      <c r="B1401" s="759"/>
      <c r="D1401" s="251"/>
      <c r="E1401" s="251"/>
      <c r="F1401" s="252"/>
      <c r="H1401" s="254"/>
      <c r="I1401" s="760"/>
    </row>
    <row r="1402">
      <c r="A1402" s="356"/>
      <c r="B1402" s="759"/>
      <c r="D1402" s="251"/>
      <c r="E1402" s="251"/>
      <c r="F1402" s="252"/>
      <c r="H1402" s="254"/>
      <c r="I1402" s="760"/>
    </row>
    <row r="1403">
      <c r="A1403" s="356"/>
      <c r="B1403" s="759"/>
      <c r="D1403" s="251"/>
      <c r="E1403" s="251"/>
      <c r="F1403" s="252"/>
      <c r="H1403" s="254"/>
      <c r="I1403" s="760"/>
    </row>
    <row r="1404">
      <c r="A1404" s="356"/>
      <c r="B1404" s="759"/>
      <c r="D1404" s="251"/>
      <c r="E1404" s="251"/>
      <c r="F1404" s="252"/>
      <c r="H1404" s="254"/>
      <c r="I1404" s="760"/>
    </row>
    <row r="1405">
      <c r="A1405" s="356"/>
      <c r="B1405" s="759"/>
      <c r="D1405" s="251"/>
      <c r="E1405" s="251"/>
      <c r="F1405" s="252"/>
      <c r="H1405" s="254"/>
      <c r="I1405" s="760"/>
    </row>
    <row r="1406">
      <c r="A1406" s="356"/>
      <c r="B1406" s="759"/>
      <c r="D1406" s="251"/>
      <c r="E1406" s="251"/>
      <c r="F1406" s="252"/>
      <c r="H1406" s="254"/>
      <c r="I1406" s="760"/>
    </row>
    <row r="1407">
      <c r="A1407" s="356"/>
      <c r="B1407" s="759"/>
      <c r="D1407" s="251"/>
      <c r="E1407" s="251"/>
      <c r="F1407" s="252"/>
      <c r="H1407" s="254"/>
      <c r="I1407" s="760"/>
    </row>
    <row r="1408">
      <c r="A1408" s="356"/>
      <c r="B1408" s="759"/>
      <c r="D1408" s="251"/>
      <c r="E1408" s="251"/>
      <c r="F1408" s="252"/>
      <c r="H1408" s="254"/>
      <c r="I1408" s="760"/>
    </row>
    <row r="1409">
      <c r="A1409" s="356"/>
      <c r="B1409" s="759"/>
      <c r="D1409" s="251"/>
      <c r="E1409" s="251"/>
      <c r="F1409" s="252"/>
      <c r="H1409" s="254"/>
      <c r="I1409" s="760"/>
    </row>
    <row r="1410">
      <c r="A1410" s="356"/>
      <c r="B1410" s="759"/>
      <c r="D1410" s="251"/>
      <c r="E1410" s="251"/>
      <c r="F1410" s="252"/>
      <c r="H1410" s="254"/>
      <c r="I1410" s="760"/>
    </row>
    <row r="1411">
      <c r="A1411" s="356"/>
      <c r="B1411" s="759"/>
      <c r="D1411" s="251"/>
      <c r="E1411" s="251"/>
      <c r="F1411" s="252"/>
      <c r="H1411" s="254"/>
      <c r="I1411" s="760"/>
    </row>
    <row r="1412">
      <c r="A1412" s="356"/>
      <c r="B1412" s="759"/>
      <c r="D1412" s="251"/>
      <c r="E1412" s="251"/>
      <c r="F1412" s="252"/>
      <c r="H1412" s="254"/>
      <c r="I1412" s="760"/>
    </row>
    <row r="1413">
      <c r="A1413" s="356"/>
      <c r="B1413" s="759"/>
      <c r="D1413" s="251"/>
      <c r="E1413" s="251"/>
      <c r="F1413" s="252"/>
      <c r="H1413" s="254"/>
      <c r="I1413" s="760"/>
    </row>
    <row r="1414">
      <c r="A1414" s="356"/>
      <c r="B1414" s="759"/>
      <c r="D1414" s="251"/>
      <c r="E1414" s="251"/>
      <c r="F1414" s="252"/>
      <c r="H1414" s="254"/>
      <c r="I1414" s="760"/>
    </row>
    <row r="1415">
      <c r="A1415" s="356"/>
      <c r="B1415" s="759"/>
      <c r="D1415" s="251"/>
      <c r="E1415" s="251"/>
      <c r="F1415" s="252"/>
      <c r="H1415" s="254"/>
      <c r="I1415" s="760"/>
    </row>
    <row r="1416">
      <c r="A1416" s="356"/>
      <c r="B1416" s="759"/>
      <c r="D1416" s="251"/>
      <c r="E1416" s="251"/>
      <c r="F1416" s="252"/>
      <c r="H1416" s="254"/>
      <c r="I1416" s="760"/>
    </row>
    <row r="1417">
      <c r="A1417" s="356"/>
      <c r="B1417" s="759"/>
      <c r="D1417" s="251"/>
      <c r="E1417" s="251"/>
      <c r="F1417" s="252"/>
      <c r="H1417" s="254"/>
      <c r="I1417" s="760"/>
    </row>
    <row r="1418">
      <c r="A1418" s="356"/>
      <c r="B1418" s="759"/>
      <c r="D1418" s="251"/>
      <c r="E1418" s="251"/>
      <c r="F1418" s="252"/>
      <c r="H1418" s="254"/>
      <c r="I1418" s="760"/>
    </row>
    <row r="1419">
      <c r="A1419" s="356"/>
      <c r="B1419" s="759"/>
      <c r="D1419" s="251"/>
      <c r="E1419" s="251"/>
      <c r="F1419" s="252"/>
      <c r="H1419" s="254"/>
      <c r="I1419" s="760"/>
    </row>
    <row r="1420">
      <c r="A1420" s="356"/>
      <c r="B1420" s="759"/>
      <c r="D1420" s="251"/>
      <c r="E1420" s="251"/>
      <c r="F1420" s="252"/>
      <c r="H1420" s="254"/>
      <c r="I1420" s="760"/>
    </row>
    <row r="1421">
      <c r="A1421" s="356"/>
      <c r="B1421" s="759"/>
      <c r="D1421" s="251"/>
      <c r="E1421" s="251"/>
      <c r="F1421" s="252"/>
      <c r="H1421" s="254"/>
      <c r="I1421" s="760"/>
    </row>
    <row r="1422">
      <c r="A1422" s="356"/>
      <c r="B1422" s="759"/>
      <c r="D1422" s="251"/>
      <c r="E1422" s="251"/>
      <c r="F1422" s="252"/>
      <c r="H1422" s="254"/>
      <c r="I1422" s="760"/>
    </row>
    <row r="1423">
      <c r="A1423" s="356"/>
      <c r="B1423" s="759"/>
      <c r="D1423" s="251"/>
      <c r="E1423" s="251"/>
      <c r="F1423" s="252"/>
      <c r="H1423" s="254"/>
      <c r="I1423" s="760"/>
    </row>
    <row r="1424">
      <c r="A1424" s="356"/>
      <c r="B1424" s="759"/>
      <c r="D1424" s="251"/>
      <c r="E1424" s="251"/>
      <c r="F1424" s="252"/>
      <c r="H1424" s="254"/>
      <c r="I1424" s="760"/>
    </row>
    <row r="1425">
      <c r="A1425" s="356"/>
      <c r="B1425" s="759"/>
      <c r="D1425" s="251"/>
      <c r="E1425" s="251"/>
      <c r="F1425" s="252"/>
      <c r="H1425" s="254"/>
      <c r="I1425" s="760"/>
    </row>
    <row r="1426">
      <c r="A1426" s="356"/>
      <c r="B1426" s="759"/>
      <c r="D1426" s="251"/>
      <c r="E1426" s="251"/>
      <c r="F1426" s="252"/>
      <c r="H1426" s="254"/>
      <c r="I1426" s="760"/>
    </row>
    <row r="1427">
      <c r="A1427" s="356"/>
      <c r="B1427" s="759"/>
      <c r="D1427" s="251"/>
      <c r="E1427" s="251"/>
      <c r="F1427" s="252"/>
      <c r="H1427" s="254"/>
      <c r="I1427" s="760"/>
    </row>
    <row r="1428">
      <c r="A1428" s="356"/>
      <c r="B1428" s="759"/>
      <c r="D1428" s="251"/>
      <c r="E1428" s="251"/>
      <c r="F1428" s="252"/>
      <c r="H1428" s="254"/>
      <c r="I1428" s="760"/>
    </row>
    <row r="1429">
      <c r="A1429" s="356"/>
      <c r="B1429" s="759"/>
      <c r="D1429" s="251"/>
      <c r="E1429" s="251"/>
      <c r="F1429" s="252"/>
      <c r="H1429" s="254"/>
      <c r="I1429" s="760"/>
    </row>
    <row r="1430">
      <c r="A1430" s="356"/>
      <c r="B1430" s="759"/>
      <c r="D1430" s="251"/>
      <c r="E1430" s="251"/>
      <c r="F1430" s="252"/>
      <c r="H1430" s="254"/>
      <c r="I1430" s="760"/>
    </row>
    <row r="1431">
      <c r="A1431" s="356"/>
      <c r="B1431" s="759"/>
      <c r="D1431" s="251"/>
      <c r="E1431" s="251"/>
      <c r="F1431" s="252"/>
      <c r="H1431" s="254"/>
      <c r="I1431" s="760"/>
    </row>
    <row r="1432">
      <c r="A1432" s="356"/>
      <c r="B1432" s="759"/>
      <c r="D1432" s="251"/>
      <c r="E1432" s="251"/>
      <c r="F1432" s="252"/>
      <c r="H1432" s="254"/>
      <c r="I1432" s="760"/>
    </row>
    <row r="1433">
      <c r="A1433" s="356"/>
      <c r="B1433" s="759"/>
      <c r="D1433" s="251"/>
      <c r="E1433" s="251"/>
      <c r="F1433" s="252"/>
      <c r="H1433" s="254"/>
      <c r="I1433" s="760"/>
    </row>
    <row r="1434">
      <c r="A1434" s="356"/>
      <c r="B1434" s="759"/>
      <c r="D1434" s="251"/>
      <c r="E1434" s="251"/>
      <c r="F1434" s="252"/>
      <c r="H1434" s="254"/>
      <c r="I1434" s="760"/>
    </row>
    <row r="1435">
      <c r="A1435" s="356"/>
      <c r="B1435" s="759"/>
      <c r="D1435" s="251"/>
      <c r="E1435" s="251"/>
      <c r="F1435" s="252"/>
      <c r="H1435" s="254"/>
      <c r="I1435" s="760"/>
    </row>
    <row r="1436">
      <c r="A1436" s="356"/>
      <c r="B1436" s="759"/>
      <c r="D1436" s="251"/>
      <c r="E1436" s="251"/>
      <c r="F1436" s="252"/>
      <c r="H1436" s="254"/>
      <c r="I1436" s="760"/>
    </row>
    <row r="1437">
      <c r="A1437" s="356"/>
      <c r="B1437" s="759"/>
      <c r="D1437" s="251"/>
      <c r="E1437" s="251"/>
      <c r="F1437" s="252"/>
      <c r="H1437" s="254"/>
      <c r="I1437" s="760"/>
    </row>
    <row r="1438">
      <c r="A1438" s="356"/>
      <c r="B1438" s="759"/>
      <c r="D1438" s="251"/>
      <c r="E1438" s="251"/>
      <c r="F1438" s="252"/>
      <c r="H1438" s="254"/>
      <c r="I1438" s="760"/>
    </row>
    <row r="1439">
      <c r="A1439" s="356"/>
      <c r="B1439" s="759"/>
      <c r="D1439" s="251"/>
      <c r="E1439" s="251"/>
      <c r="F1439" s="252"/>
      <c r="H1439" s="254"/>
      <c r="I1439" s="760"/>
    </row>
    <row r="1440">
      <c r="A1440" s="356"/>
      <c r="B1440" s="759"/>
      <c r="D1440" s="251"/>
      <c r="E1440" s="251"/>
      <c r="F1440" s="252"/>
      <c r="H1440" s="254"/>
      <c r="I1440" s="760"/>
    </row>
    <row r="1441">
      <c r="A1441" s="356"/>
      <c r="B1441" s="759"/>
      <c r="D1441" s="251"/>
      <c r="E1441" s="251"/>
      <c r="F1441" s="252"/>
      <c r="H1441" s="254"/>
      <c r="I1441" s="760"/>
    </row>
    <row r="1442">
      <c r="A1442" s="356"/>
      <c r="B1442" s="759"/>
      <c r="D1442" s="251"/>
      <c r="E1442" s="251"/>
      <c r="F1442" s="252"/>
      <c r="H1442" s="254"/>
      <c r="I1442" s="760"/>
    </row>
    <row r="1443">
      <c r="A1443" s="356"/>
      <c r="B1443" s="759"/>
      <c r="D1443" s="251"/>
      <c r="E1443" s="251"/>
      <c r="F1443" s="252"/>
      <c r="H1443" s="254"/>
      <c r="I1443" s="760"/>
    </row>
    <row r="1444">
      <c r="A1444" s="356"/>
      <c r="B1444" s="759"/>
      <c r="D1444" s="251"/>
      <c r="E1444" s="251"/>
      <c r="F1444" s="252"/>
      <c r="H1444" s="254"/>
      <c r="I1444" s="760"/>
    </row>
    <row r="1445">
      <c r="A1445" s="356"/>
      <c r="B1445" s="759"/>
      <c r="D1445" s="251"/>
      <c r="E1445" s="251"/>
      <c r="F1445" s="252"/>
      <c r="H1445" s="254"/>
      <c r="I1445" s="760"/>
    </row>
    <row r="1446">
      <c r="A1446" s="356"/>
      <c r="B1446" s="759"/>
      <c r="D1446" s="251"/>
      <c r="E1446" s="251"/>
      <c r="F1446" s="252"/>
      <c r="H1446" s="254"/>
      <c r="I1446" s="760"/>
    </row>
    <row r="1447">
      <c r="A1447" s="356"/>
      <c r="B1447" s="759"/>
      <c r="D1447" s="251"/>
      <c r="E1447" s="251"/>
      <c r="F1447" s="252"/>
      <c r="H1447" s="254"/>
      <c r="I1447" s="760"/>
    </row>
    <row r="1448">
      <c r="A1448" s="356"/>
      <c r="B1448" s="759"/>
      <c r="D1448" s="251"/>
      <c r="E1448" s="251"/>
      <c r="F1448" s="252"/>
      <c r="H1448" s="254"/>
      <c r="I1448" s="760"/>
    </row>
    <row r="1449">
      <c r="A1449" s="356"/>
      <c r="B1449" s="759"/>
      <c r="D1449" s="251"/>
      <c r="E1449" s="251"/>
      <c r="F1449" s="252"/>
      <c r="H1449" s="254"/>
      <c r="I1449" s="760"/>
    </row>
    <row r="1450">
      <c r="A1450" s="356"/>
      <c r="B1450" s="759"/>
      <c r="D1450" s="251"/>
      <c r="E1450" s="251"/>
      <c r="F1450" s="252"/>
      <c r="H1450" s="254"/>
      <c r="I1450" s="760"/>
    </row>
    <row r="1451">
      <c r="A1451" s="356"/>
      <c r="B1451" s="759"/>
      <c r="D1451" s="251"/>
      <c r="E1451" s="251"/>
      <c r="F1451" s="252"/>
      <c r="H1451" s="254"/>
      <c r="I1451" s="760"/>
    </row>
    <row r="1452">
      <c r="A1452" s="356"/>
      <c r="B1452" s="759"/>
      <c r="D1452" s="251"/>
      <c r="E1452" s="251"/>
      <c r="F1452" s="252"/>
      <c r="H1452" s="254"/>
      <c r="I1452" s="760"/>
    </row>
    <row r="1453">
      <c r="A1453" s="356"/>
      <c r="B1453" s="759"/>
      <c r="D1453" s="251"/>
      <c r="E1453" s="251"/>
      <c r="F1453" s="252"/>
      <c r="H1453" s="254"/>
      <c r="I1453" s="760"/>
    </row>
    <row r="1454">
      <c r="A1454" s="356"/>
      <c r="B1454" s="759"/>
      <c r="D1454" s="251"/>
      <c r="E1454" s="251"/>
      <c r="F1454" s="252"/>
      <c r="H1454" s="254"/>
      <c r="I1454" s="760"/>
    </row>
    <row r="1455">
      <c r="A1455" s="356"/>
      <c r="B1455" s="759"/>
      <c r="D1455" s="251"/>
      <c r="E1455" s="251"/>
      <c r="F1455" s="252"/>
      <c r="H1455" s="254"/>
      <c r="I1455" s="760"/>
    </row>
    <row r="1456">
      <c r="A1456" s="356"/>
      <c r="B1456" s="759"/>
      <c r="D1456" s="251"/>
      <c r="E1456" s="251"/>
      <c r="F1456" s="252"/>
      <c r="H1456" s="254"/>
      <c r="I1456" s="760"/>
    </row>
    <row r="1457">
      <c r="A1457" s="356"/>
      <c r="B1457" s="759"/>
      <c r="D1457" s="251"/>
      <c r="E1457" s="251"/>
      <c r="F1457" s="252"/>
      <c r="H1457" s="254"/>
      <c r="I1457" s="760"/>
    </row>
    <row r="1458">
      <c r="A1458" s="356"/>
      <c r="B1458" s="759"/>
      <c r="D1458" s="251"/>
      <c r="E1458" s="251"/>
      <c r="F1458" s="252"/>
      <c r="H1458" s="254"/>
      <c r="I1458" s="760"/>
    </row>
    <row r="1459">
      <c r="A1459" s="356"/>
      <c r="B1459" s="759"/>
      <c r="D1459" s="251"/>
      <c r="E1459" s="251"/>
      <c r="F1459" s="252"/>
      <c r="H1459" s="254"/>
      <c r="I1459" s="760"/>
    </row>
    <row r="1460">
      <c r="A1460" s="356"/>
      <c r="B1460" s="759"/>
      <c r="D1460" s="251"/>
      <c r="E1460" s="251"/>
      <c r="F1460" s="252"/>
      <c r="H1460" s="254"/>
      <c r="I1460" s="760"/>
    </row>
    <row r="1461">
      <c r="A1461" s="356"/>
      <c r="B1461" s="759"/>
      <c r="D1461" s="251"/>
      <c r="E1461" s="251"/>
      <c r="F1461" s="252"/>
      <c r="H1461" s="254"/>
      <c r="I1461" s="760"/>
    </row>
    <row r="1462">
      <c r="A1462" s="356"/>
      <c r="B1462" s="759"/>
      <c r="D1462" s="251"/>
      <c r="E1462" s="251"/>
      <c r="F1462" s="252"/>
      <c r="H1462" s="254"/>
      <c r="I1462" s="760"/>
    </row>
    <row r="1463">
      <c r="A1463" s="356"/>
      <c r="B1463" s="759"/>
      <c r="D1463" s="251"/>
      <c r="E1463" s="251"/>
      <c r="F1463" s="252"/>
      <c r="H1463" s="254"/>
      <c r="I1463" s="760"/>
    </row>
    <row r="1464">
      <c r="A1464" s="356"/>
      <c r="B1464" s="759"/>
      <c r="D1464" s="251"/>
      <c r="E1464" s="251"/>
      <c r="F1464" s="252"/>
      <c r="H1464" s="254"/>
      <c r="I1464" s="760"/>
    </row>
    <row r="1465">
      <c r="A1465" s="356"/>
      <c r="B1465" s="759"/>
      <c r="D1465" s="251"/>
      <c r="E1465" s="251"/>
      <c r="F1465" s="252"/>
      <c r="H1465" s="254"/>
      <c r="I1465" s="760"/>
    </row>
    <row r="1466">
      <c r="A1466" s="356"/>
      <c r="B1466" s="759"/>
      <c r="D1466" s="251"/>
      <c r="E1466" s="251"/>
      <c r="F1466" s="252"/>
      <c r="H1466" s="254"/>
      <c r="I1466" s="760"/>
    </row>
    <row r="1467">
      <c r="A1467" s="356"/>
      <c r="B1467" s="759"/>
      <c r="D1467" s="251"/>
      <c r="E1467" s="251"/>
      <c r="F1467" s="252"/>
      <c r="H1467" s="254"/>
      <c r="I1467" s="760"/>
    </row>
    <row r="1468">
      <c r="A1468" s="356"/>
      <c r="B1468" s="759"/>
      <c r="D1468" s="251"/>
      <c r="E1468" s="251"/>
      <c r="F1468" s="252"/>
      <c r="H1468" s="254"/>
      <c r="I1468" s="760"/>
    </row>
    <row r="1469">
      <c r="A1469" s="356"/>
      <c r="B1469" s="759"/>
      <c r="D1469" s="251"/>
      <c r="E1469" s="251"/>
      <c r="F1469" s="252"/>
      <c r="H1469" s="254"/>
      <c r="I1469" s="760"/>
    </row>
    <row r="1470">
      <c r="A1470" s="356"/>
      <c r="B1470" s="759"/>
      <c r="D1470" s="251"/>
      <c r="E1470" s="251"/>
      <c r="F1470" s="252"/>
      <c r="H1470" s="254"/>
      <c r="I1470" s="760"/>
    </row>
    <row r="1471">
      <c r="A1471" s="356"/>
      <c r="B1471" s="759"/>
      <c r="D1471" s="251"/>
      <c r="E1471" s="251"/>
      <c r="F1471" s="252"/>
      <c r="H1471" s="254"/>
      <c r="I1471" s="760"/>
    </row>
    <row r="1472">
      <c r="A1472" s="356"/>
      <c r="B1472" s="759"/>
      <c r="D1472" s="251"/>
      <c r="E1472" s="251"/>
      <c r="F1472" s="252"/>
      <c r="H1472" s="254"/>
      <c r="I1472" s="760"/>
    </row>
    <row r="1473">
      <c r="A1473" s="356"/>
      <c r="B1473" s="759"/>
      <c r="D1473" s="251"/>
      <c r="E1473" s="251"/>
      <c r="F1473" s="252"/>
      <c r="H1473" s="254"/>
      <c r="I1473" s="760"/>
    </row>
    <row r="1474">
      <c r="A1474" s="356"/>
      <c r="B1474" s="759"/>
      <c r="D1474" s="251"/>
      <c r="E1474" s="251"/>
      <c r="F1474" s="252"/>
      <c r="H1474" s="254"/>
      <c r="I1474" s="760"/>
    </row>
    <row r="1475">
      <c r="A1475" s="356"/>
      <c r="B1475" s="759"/>
      <c r="D1475" s="251"/>
      <c r="E1475" s="251"/>
      <c r="F1475" s="252"/>
      <c r="H1475" s="254"/>
      <c r="I1475" s="760"/>
    </row>
    <row r="1476">
      <c r="A1476" s="356"/>
      <c r="B1476" s="759"/>
      <c r="D1476" s="251"/>
      <c r="E1476" s="251"/>
      <c r="F1476" s="252"/>
      <c r="H1476" s="254"/>
      <c r="I1476" s="760"/>
    </row>
    <row r="1477">
      <c r="A1477" s="356"/>
      <c r="B1477" s="759"/>
      <c r="D1477" s="251"/>
      <c r="E1477" s="251"/>
      <c r="F1477" s="252"/>
      <c r="H1477" s="254"/>
      <c r="I1477" s="760"/>
    </row>
    <row r="1478">
      <c r="A1478" s="356"/>
      <c r="B1478" s="759"/>
      <c r="D1478" s="251"/>
      <c r="E1478" s="251"/>
      <c r="F1478" s="252"/>
      <c r="H1478" s="254"/>
      <c r="I1478" s="760"/>
    </row>
    <row r="1479">
      <c r="A1479" s="356"/>
      <c r="B1479" s="759"/>
      <c r="D1479" s="251"/>
      <c r="E1479" s="251"/>
      <c r="F1479" s="252"/>
      <c r="H1479" s="254"/>
      <c r="I1479" s="760"/>
    </row>
    <row r="1480">
      <c r="A1480" s="356"/>
      <c r="B1480" s="759"/>
      <c r="D1480" s="251"/>
      <c r="E1480" s="251"/>
      <c r="F1480" s="252"/>
      <c r="H1480" s="254"/>
      <c r="I1480" s="760"/>
    </row>
    <row r="1481">
      <c r="A1481" s="356"/>
      <c r="B1481" s="759"/>
      <c r="D1481" s="251"/>
      <c r="E1481" s="251"/>
      <c r="F1481" s="252"/>
      <c r="H1481" s="254"/>
      <c r="I1481" s="760"/>
    </row>
    <row r="1482">
      <c r="A1482" s="356"/>
      <c r="B1482" s="759"/>
      <c r="D1482" s="251"/>
      <c r="E1482" s="251"/>
      <c r="F1482" s="252"/>
      <c r="H1482" s="254"/>
      <c r="I1482" s="760"/>
    </row>
    <row r="1483">
      <c r="A1483" s="356"/>
      <c r="B1483" s="759"/>
      <c r="D1483" s="251"/>
      <c r="E1483" s="251"/>
      <c r="F1483" s="252"/>
      <c r="H1483" s="254"/>
      <c r="I1483" s="760"/>
    </row>
    <row r="1484">
      <c r="A1484" s="356"/>
      <c r="B1484" s="759"/>
      <c r="D1484" s="251"/>
      <c r="E1484" s="251"/>
      <c r="F1484" s="252"/>
      <c r="H1484" s="254"/>
      <c r="I1484" s="760"/>
    </row>
    <row r="1485">
      <c r="A1485" s="356"/>
      <c r="B1485" s="759"/>
      <c r="D1485" s="251"/>
      <c r="E1485" s="251"/>
      <c r="F1485" s="252"/>
      <c r="H1485" s="254"/>
      <c r="I1485" s="760"/>
    </row>
    <row r="1486">
      <c r="A1486" s="356"/>
      <c r="B1486" s="759"/>
      <c r="D1486" s="251"/>
      <c r="E1486" s="251"/>
      <c r="F1486" s="252"/>
      <c r="H1486" s="254"/>
      <c r="I1486" s="760"/>
    </row>
    <row r="1487">
      <c r="A1487" s="356"/>
      <c r="B1487" s="759"/>
      <c r="D1487" s="251"/>
      <c r="E1487" s="251"/>
      <c r="F1487" s="252"/>
      <c r="H1487" s="254"/>
      <c r="I1487" s="760"/>
    </row>
    <row r="1488">
      <c r="A1488" s="356"/>
      <c r="B1488" s="759"/>
      <c r="D1488" s="251"/>
      <c r="E1488" s="251"/>
      <c r="F1488" s="252"/>
      <c r="H1488" s="254"/>
      <c r="I1488" s="760"/>
    </row>
    <row r="1489">
      <c r="A1489" s="356"/>
      <c r="B1489" s="759"/>
      <c r="D1489" s="251"/>
      <c r="E1489" s="251"/>
      <c r="F1489" s="252"/>
      <c r="H1489" s="254"/>
      <c r="I1489" s="760"/>
    </row>
    <row r="1490">
      <c r="A1490" s="356"/>
      <c r="B1490" s="759"/>
      <c r="D1490" s="251"/>
      <c r="E1490" s="251"/>
      <c r="F1490" s="252"/>
      <c r="H1490" s="254"/>
      <c r="I1490" s="760"/>
    </row>
    <row r="1491">
      <c r="A1491" s="356"/>
      <c r="B1491" s="759"/>
      <c r="D1491" s="251"/>
      <c r="E1491" s="251"/>
      <c r="F1491" s="252"/>
      <c r="H1491" s="254"/>
      <c r="I1491" s="760"/>
    </row>
    <row r="1492">
      <c r="A1492" s="356"/>
      <c r="B1492" s="759"/>
      <c r="D1492" s="251"/>
      <c r="E1492" s="251"/>
      <c r="F1492" s="252"/>
      <c r="H1492" s="254"/>
      <c r="I1492" s="760"/>
    </row>
    <row r="1493">
      <c r="A1493" s="356"/>
      <c r="B1493" s="759"/>
      <c r="D1493" s="251"/>
      <c r="E1493" s="251"/>
      <c r="F1493" s="252"/>
      <c r="H1493" s="254"/>
      <c r="I1493" s="760"/>
    </row>
    <row r="1494">
      <c r="A1494" s="356"/>
      <c r="B1494" s="759"/>
      <c r="D1494" s="251"/>
      <c r="E1494" s="251"/>
      <c r="F1494" s="252"/>
      <c r="H1494" s="254"/>
      <c r="I1494" s="760"/>
    </row>
    <row r="1495">
      <c r="A1495" s="356"/>
      <c r="B1495" s="759"/>
      <c r="D1495" s="251"/>
      <c r="E1495" s="251"/>
      <c r="F1495" s="252"/>
      <c r="H1495" s="254"/>
      <c r="I1495" s="760"/>
    </row>
    <row r="1496">
      <c r="A1496" s="356"/>
      <c r="B1496" s="759"/>
      <c r="D1496" s="251"/>
      <c r="E1496" s="251"/>
      <c r="F1496" s="252"/>
      <c r="H1496" s="254"/>
      <c r="I1496" s="760"/>
    </row>
    <row r="1497">
      <c r="A1497" s="356"/>
      <c r="B1497" s="759"/>
      <c r="D1497" s="251"/>
      <c r="E1497" s="251"/>
      <c r="F1497" s="252"/>
      <c r="H1497" s="254"/>
      <c r="I1497" s="760"/>
    </row>
    <row r="1498">
      <c r="A1498" s="356"/>
      <c r="B1498" s="759"/>
      <c r="D1498" s="251"/>
      <c r="E1498" s="251"/>
      <c r="F1498" s="252"/>
      <c r="H1498" s="254"/>
      <c r="I1498" s="760"/>
    </row>
    <row r="1499">
      <c r="A1499" s="356"/>
      <c r="B1499" s="759"/>
      <c r="D1499" s="251"/>
      <c r="E1499" s="251"/>
      <c r="F1499" s="252"/>
      <c r="H1499" s="254"/>
      <c r="I1499" s="760"/>
    </row>
    <row r="1500">
      <c r="A1500" s="356"/>
      <c r="B1500" s="759"/>
      <c r="D1500" s="251"/>
      <c r="E1500" s="251"/>
      <c r="F1500" s="252"/>
      <c r="H1500" s="254"/>
      <c r="I1500" s="760"/>
    </row>
    <row r="1501">
      <c r="A1501" s="356"/>
      <c r="B1501" s="759"/>
      <c r="D1501" s="251"/>
      <c r="E1501" s="251"/>
      <c r="F1501" s="252"/>
      <c r="H1501" s="254"/>
      <c r="I1501" s="760"/>
    </row>
    <row r="1502">
      <c r="A1502" s="356"/>
      <c r="B1502" s="759"/>
      <c r="D1502" s="251"/>
      <c r="E1502" s="251"/>
      <c r="F1502" s="252"/>
      <c r="H1502" s="254"/>
      <c r="I1502" s="760"/>
    </row>
    <row r="1503">
      <c r="A1503" s="356"/>
      <c r="B1503" s="759"/>
      <c r="D1503" s="251"/>
      <c r="E1503" s="251"/>
      <c r="F1503" s="252"/>
      <c r="H1503" s="254"/>
      <c r="I1503" s="760"/>
    </row>
    <row r="1504">
      <c r="A1504" s="356"/>
      <c r="B1504" s="759"/>
      <c r="D1504" s="251"/>
      <c r="E1504" s="251"/>
      <c r="F1504" s="252"/>
      <c r="H1504" s="254"/>
      <c r="I1504" s="760"/>
    </row>
    <row r="1505">
      <c r="A1505" s="356"/>
      <c r="B1505" s="759"/>
      <c r="D1505" s="251"/>
      <c r="E1505" s="251"/>
      <c r="F1505" s="252"/>
      <c r="H1505" s="254"/>
      <c r="I1505" s="760"/>
    </row>
    <row r="1506">
      <c r="A1506" s="356"/>
      <c r="B1506" s="759"/>
      <c r="D1506" s="251"/>
      <c r="E1506" s="251"/>
      <c r="F1506" s="252"/>
      <c r="H1506" s="254"/>
      <c r="I1506" s="760"/>
    </row>
    <row r="1507">
      <c r="A1507" s="356"/>
      <c r="B1507" s="759"/>
      <c r="D1507" s="251"/>
      <c r="E1507" s="251"/>
      <c r="F1507" s="252"/>
      <c r="H1507" s="254"/>
      <c r="I1507" s="760"/>
    </row>
    <row r="1508">
      <c r="A1508" s="356"/>
      <c r="B1508" s="759"/>
      <c r="D1508" s="251"/>
      <c r="E1508" s="251"/>
      <c r="F1508" s="252"/>
      <c r="H1508" s="254"/>
      <c r="I1508" s="760"/>
    </row>
    <row r="1509">
      <c r="A1509" s="356"/>
      <c r="B1509" s="759"/>
      <c r="D1509" s="251"/>
      <c r="E1509" s="251"/>
      <c r="F1509" s="252"/>
      <c r="H1509" s="254"/>
      <c r="I1509" s="760"/>
    </row>
    <row r="1510">
      <c r="A1510" s="356"/>
      <c r="B1510" s="759"/>
      <c r="D1510" s="251"/>
      <c r="E1510" s="251"/>
      <c r="F1510" s="252"/>
      <c r="H1510" s="254"/>
      <c r="I1510" s="760"/>
    </row>
    <row r="1511">
      <c r="A1511" s="356"/>
      <c r="B1511" s="759"/>
      <c r="D1511" s="251"/>
      <c r="E1511" s="251"/>
      <c r="F1511" s="252"/>
      <c r="H1511" s="254"/>
      <c r="I1511" s="760"/>
    </row>
    <row r="1512">
      <c r="A1512" s="356"/>
      <c r="B1512" s="759"/>
      <c r="D1512" s="251"/>
      <c r="E1512" s="251"/>
      <c r="F1512" s="252"/>
      <c r="H1512" s="254"/>
      <c r="I1512" s="760"/>
    </row>
    <row r="1513">
      <c r="A1513" s="356"/>
      <c r="B1513" s="759"/>
      <c r="D1513" s="251"/>
      <c r="E1513" s="251"/>
      <c r="F1513" s="252"/>
      <c r="H1513" s="254"/>
      <c r="I1513" s="760"/>
    </row>
    <row r="1514">
      <c r="A1514" s="356"/>
      <c r="B1514" s="759"/>
      <c r="D1514" s="251"/>
      <c r="E1514" s="251"/>
      <c r="F1514" s="252"/>
      <c r="H1514" s="254"/>
      <c r="I1514" s="760"/>
    </row>
    <row r="1515">
      <c r="A1515" s="356"/>
      <c r="B1515" s="759"/>
      <c r="D1515" s="251"/>
      <c r="E1515" s="251"/>
      <c r="F1515" s="252"/>
      <c r="H1515" s="254"/>
      <c r="I1515" s="760"/>
    </row>
    <row r="1516">
      <c r="A1516" s="356"/>
      <c r="B1516" s="759"/>
      <c r="D1516" s="251"/>
      <c r="E1516" s="251"/>
      <c r="F1516" s="252"/>
      <c r="H1516" s="254"/>
      <c r="I1516" s="760"/>
    </row>
    <row r="1517">
      <c r="A1517" s="356"/>
      <c r="B1517" s="759"/>
      <c r="D1517" s="251"/>
      <c r="E1517" s="251"/>
      <c r="F1517" s="252"/>
      <c r="H1517" s="254"/>
      <c r="I1517" s="760"/>
    </row>
    <row r="1518">
      <c r="A1518" s="356"/>
      <c r="B1518" s="759"/>
      <c r="D1518" s="251"/>
      <c r="E1518" s="251"/>
      <c r="F1518" s="252"/>
      <c r="H1518" s="254"/>
      <c r="I1518" s="760"/>
    </row>
    <row r="1519">
      <c r="A1519" s="356"/>
      <c r="B1519" s="759"/>
      <c r="D1519" s="251"/>
      <c r="E1519" s="251"/>
      <c r="F1519" s="252"/>
      <c r="H1519" s="254"/>
      <c r="I1519" s="760"/>
    </row>
    <row r="1520">
      <c r="A1520" s="356"/>
      <c r="B1520" s="759"/>
      <c r="D1520" s="251"/>
      <c r="E1520" s="251"/>
      <c r="F1520" s="252"/>
      <c r="H1520" s="254"/>
      <c r="I1520" s="760"/>
    </row>
    <row r="1521">
      <c r="A1521" s="356"/>
      <c r="B1521" s="759"/>
      <c r="D1521" s="251"/>
      <c r="E1521" s="251"/>
      <c r="F1521" s="252"/>
      <c r="H1521" s="254"/>
      <c r="I1521" s="760"/>
    </row>
    <row r="1522">
      <c r="A1522" s="356"/>
      <c r="B1522" s="759"/>
      <c r="D1522" s="251"/>
      <c r="E1522" s="251"/>
      <c r="F1522" s="252"/>
      <c r="H1522" s="254"/>
      <c r="I1522" s="760"/>
    </row>
    <row r="1523">
      <c r="A1523" s="356"/>
      <c r="B1523" s="759"/>
      <c r="D1523" s="251"/>
      <c r="E1523" s="251"/>
      <c r="F1523" s="252"/>
      <c r="H1523" s="254"/>
      <c r="I1523" s="760"/>
    </row>
    <row r="1524">
      <c r="A1524" s="356"/>
      <c r="B1524" s="759"/>
      <c r="D1524" s="251"/>
      <c r="E1524" s="251"/>
      <c r="F1524" s="252"/>
      <c r="H1524" s="254"/>
      <c r="I1524" s="760"/>
    </row>
    <row r="1525">
      <c r="A1525" s="356"/>
      <c r="B1525" s="759"/>
      <c r="D1525" s="251"/>
      <c r="E1525" s="251"/>
      <c r="F1525" s="252"/>
      <c r="H1525" s="254"/>
      <c r="I1525" s="760"/>
    </row>
    <row r="1526">
      <c r="A1526" s="356"/>
      <c r="B1526" s="759"/>
      <c r="D1526" s="251"/>
      <c r="E1526" s="251"/>
      <c r="F1526" s="252"/>
      <c r="H1526" s="254"/>
      <c r="I1526" s="760"/>
    </row>
    <row r="1527">
      <c r="A1527" s="356"/>
      <c r="B1527" s="759"/>
      <c r="D1527" s="251"/>
      <c r="E1527" s="251"/>
      <c r="F1527" s="252"/>
      <c r="H1527" s="254"/>
      <c r="I1527" s="760"/>
    </row>
    <row r="1528">
      <c r="A1528" s="356"/>
      <c r="B1528" s="759"/>
      <c r="D1528" s="251"/>
      <c r="E1528" s="251"/>
      <c r="F1528" s="252"/>
      <c r="H1528" s="254"/>
      <c r="I1528" s="760"/>
    </row>
    <row r="1529">
      <c r="A1529" s="356"/>
      <c r="B1529" s="759"/>
      <c r="D1529" s="251"/>
      <c r="E1529" s="251"/>
      <c r="F1529" s="252"/>
      <c r="H1529" s="254"/>
      <c r="I1529" s="760"/>
    </row>
    <row r="1530">
      <c r="A1530" s="356"/>
      <c r="B1530" s="759"/>
      <c r="D1530" s="251"/>
      <c r="E1530" s="251"/>
      <c r="F1530" s="252"/>
      <c r="H1530" s="254"/>
      <c r="I1530" s="760"/>
    </row>
    <row r="1531">
      <c r="A1531" s="356"/>
      <c r="B1531" s="759"/>
      <c r="D1531" s="251"/>
      <c r="E1531" s="251"/>
      <c r="F1531" s="252"/>
      <c r="H1531" s="254"/>
      <c r="I1531" s="760"/>
    </row>
    <row r="1532">
      <c r="A1532" s="356"/>
      <c r="B1532" s="759"/>
      <c r="D1532" s="251"/>
      <c r="E1532" s="251"/>
      <c r="F1532" s="252"/>
      <c r="H1532" s="254"/>
      <c r="I1532" s="760"/>
    </row>
    <row r="1533">
      <c r="A1533" s="356"/>
      <c r="B1533" s="759"/>
      <c r="D1533" s="251"/>
      <c r="E1533" s="251"/>
      <c r="F1533" s="252"/>
      <c r="H1533" s="254"/>
      <c r="I1533" s="760"/>
    </row>
    <row r="1534">
      <c r="A1534" s="356"/>
      <c r="B1534" s="759"/>
      <c r="D1534" s="251"/>
      <c r="E1534" s="251"/>
      <c r="F1534" s="252"/>
      <c r="H1534" s="254"/>
      <c r="I1534" s="760"/>
    </row>
    <row r="1535">
      <c r="A1535" s="356"/>
      <c r="B1535" s="759"/>
      <c r="D1535" s="251"/>
      <c r="E1535" s="251"/>
      <c r="F1535" s="252"/>
      <c r="H1535" s="254"/>
      <c r="I1535" s="760"/>
    </row>
    <row r="1536">
      <c r="A1536" s="356"/>
      <c r="B1536" s="759"/>
      <c r="D1536" s="251"/>
      <c r="E1536" s="251"/>
      <c r="F1536" s="252"/>
      <c r="H1536" s="254"/>
      <c r="I1536" s="760"/>
    </row>
    <row r="1537">
      <c r="A1537" s="356"/>
      <c r="B1537" s="759"/>
      <c r="D1537" s="251"/>
      <c r="E1537" s="251"/>
      <c r="F1537" s="252"/>
      <c r="H1537" s="254"/>
      <c r="I1537" s="760"/>
    </row>
    <row r="1538">
      <c r="A1538" s="356"/>
      <c r="B1538" s="759"/>
      <c r="D1538" s="251"/>
      <c r="E1538" s="251"/>
      <c r="F1538" s="252"/>
      <c r="H1538" s="254"/>
      <c r="I1538" s="760"/>
    </row>
    <row r="1539">
      <c r="A1539" s="356"/>
      <c r="B1539" s="759"/>
      <c r="D1539" s="251"/>
      <c r="E1539" s="251"/>
      <c r="F1539" s="252"/>
      <c r="H1539" s="254"/>
      <c r="I1539" s="760"/>
    </row>
    <row r="1540">
      <c r="A1540" s="356"/>
      <c r="B1540" s="759"/>
      <c r="D1540" s="251"/>
      <c r="E1540" s="251"/>
      <c r="F1540" s="252"/>
      <c r="H1540" s="254"/>
      <c r="I1540" s="760"/>
    </row>
    <row r="1541">
      <c r="A1541" s="356"/>
      <c r="B1541" s="759"/>
      <c r="D1541" s="251"/>
      <c r="E1541" s="251"/>
      <c r="F1541" s="252"/>
      <c r="H1541" s="254"/>
      <c r="I1541" s="760"/>
    </row>
    <row r="1542">
      <c r="A1542" s="356"/>
      <c r="B1542" s="759"/>
      <c r="D1542" s="251"/>
      <c r="E1542" s="251"/>
      <c r="F1542" s="252"/>
      <c r="H1542" s="254"/>
      <c r="I1542" s="760"/>
    </row>
    <row r="1543">
      <c r="A1543" s="356"/>
      <c r="B1543" s="759"/>
      <c r="D1543" s="251"/>
      <c r="E1543" s="251"/>
      <c r="F1543" s="252"/>
      <c r="H1543" s="254"/>
      <c r="I1543" s="760"/>
    </row>
    <row r="1544">
      <c r="A1544" s="356"/>
      <c r="B1544" s="759"/>
      <c r="D1544" s="251"/>
      <c r="E1544" s="251"/>
      <c r="F1544" s="252"/>
      <c r="H1544" s="254"/>
      <c r="I1544" s="760"/>
    </row>
    <row r="1545">
      <c r="A1545" s="356"/>
      <c r="B1545" s="759"/>
      <c r="D1545" s="251"/>
      <c r="E1545" s="251"/>
      <c r="F1545" s="252"/>
      <c r="H1545" s="254"/>
      <c r="I1545" s="760"/>
    </row>
    <row r="1546">
      <c r="A1546" s="356"/>
      <c r="B1546" s="759"/>
      <c r="D1546" s="251"/>
      <c r="E1546" s="251"/>
      <c r="F1546" s="252"/>
      <c r="H1546" s="254"/>
      <c r="I1546" s="760"/>
    </row>
    <row r="1547">
      <c r="A1547" s="356"/>
      <c r="B1547" s="759"/>
      <c r="D1547" s="251"/>
      <c r="E1547" s="251"/>
      <c r="F1547" s="252"/>
      <c r="H1547" s="254"/>
      <c r="I1547" s="760"/>
    </row>
    <row r="1548">
      <c r="A1548" s="356"/>
      <c r="B1548" s="759"/>
      <c r="D1548" s="251"/>
      <c r="E1548" s="251"/>
      <c r="F1548" s="252"/>
      <c r="H1548" s="254"/>
      <c r="I1548" s="760"/>
    </row>
    <row r="1549">
      <c r="A1549" s="356"/>
      <c r="B1549" s="759"/>
      <c r="D1549" s="251"/>
      <c r="E1549" s="251"/>
      <c r="F1549" s="252"/>
      <c r="H1549" s="254"/>
      <c r="I1549" s="760"/>
    </row>
    <row r="1550">
      <c r="A1550" s="356"/>
      <c r="B1550" s="759"/>
      <c r="D1550" s="251"/>
      <c r="E1550" s="251"/>
      <c r="F1550" s="252"/>
      <c r="H1550" s="254"/>
      <c r="I1550" s="760"/>
    </row>
    <row r="1551">
      <c r="A1551" s="356"/>
      <c r="B1551" s="759"/>
      <c r="D1551" s="251"/>
      <c r="E1551" s="251"/>
      <c r="F1551" s="252"/>
      <c r="H1551" s="254"/>
      <c r="I1551" s="760"/>
    </row>
    <row r="1552">
      <c r="A1552" s="356"/>
      <c r="B1552" s="759"/>
      <c r="D1552" s="251"/>
      <c r="E1552" s="251"/>
      <c r="F1552" s="252"/>
      <c r="H1552" s="254"/>
      <c r="I1552" s="760"/>
    </row>
    <row r="1553">
      <c r="A1553" s="356"/>
      <c r="B1553" s="759"/>
      <c r="D1553" s="251"/>
      <c r="E1553" s="251"/>
      <c r="F1553" s="252"/>
      <c r="H1553" s="254"/>
      <c r="I1553" s="760"/>
    </row>
    <row r="1554">
      <c r="A1554" s="356"/>
      <c r="B1554" s="759"/>
      <c r="D1554" s="251"/>
      <c r="E1554" s="251"/>
      <c r="F1554" s="252"/>
      <c r="H1554" s="254"/>
      <c r="I1554" s="760"/>
    </row>
    <row r="1555">
      <c r="A1555" s="356"/>
      <c r="B1555" s="759"/>
      <c r="D1555" s="251"/>
      <c r="E1555" s="251"/>
      <c r="F1555" s="252"/>
      <c r="H1555" s="254"/>
      <c r="I1555" s="760"/>
    </row>
    <row r="1556">
      <c r="A1556" s="356"/>
      <c r="B1556" s="759"/>
      <c r="D1556" s="251"/>
      <c r="E1556" s="251"/>
      <c r="F1556" s="252"/>
      <c r="H1556" s="254"/>
      <c r="I1556" s="760"/>
    </row>
    <row r="1557">
      <c r="A1557" s="356"/>
      <c r="B1557" s="759"/>
      <c r="D1557" s="251"/>
      <c r="E1557" s="251"/>
      <c r="F1557" s="252"/>
      <c r="H1557" s="254"/>
      <c r="I1557" s="760"/>
    </row>
    <row r="1558">
      <c r="A1558" s="356"/>
      <c r="B1558" s="759"/>
      <c r="D1558" s="251"/>
      <c r="E1558" s="251"/>
      <c r="F1558" s="252"/>
      <c r="H1558" s="254"/>
      <c r="I1558" s="760"/>
    </row>
    <row r="1559">
      <c r="A1559" s="356"/>
      <c r="B1559" s="759"/>
      <c r="D1559" s="251"/>
      <c r="E1559" s="251"/>
      <c r="F1559" s="252"/>
      <c r="H1559" s="254"/>
      <c r="I1559" s="760"/>
    </row>
    <row r="1560">
      <c r="A1560" s="356"/>
      <c r="B1560" s="759"/>
      <c r="D1560" s="251"/>
      <c r="E1560" s="251"/>
      <c r="F1560" s="252"/>
      <c r="H1560" s="254"/>
      <c r="I1560" s="760"/>
    </row>
    <row r="1561">
      <c r="A1561" s="356"/>
      <c r="B1561" s="759"/>
      <c r="D1561" s="251"/>
      <c r="E1561" s="251"/>
      <c r="F1561" s="252"/>
      <c r="H1561" s="254"/>
      <c r="I1561" s="760"/>
    </row>
    <row r="1562">
      <c r="A1562" s="356"/>
      <c r="B1562" s="759"/>
      <c r="D1562" s="251"/>
      <c r="E1562" s="251"/>
      <c r="F1562" s="252"/>
      <c r="H1562" s="254"/>
      <c r="I1562" s="760"/>
    </row>
    <row r="1563">
      <c r="A1563" s="356"/>
      <c r="B1563" s="759"/>
      <c r="D1563" s="251"/>
      <c r="E1563" s="251"/>
      <c r="F1563" s="252"/>
      <c r="H1563" s="254"/>
      <c r="I1563" s="760"/>
    </row>
    <row r="1564">
      <c r="A1564" s="356"/>
      <c r="B1564" s="759"/>
      <c r="D1564" s="251"/>
      <c r="E1564" s="251"/>
      <c r="F1564" s="252"/>
      <c r="H1564" s="254"/>
      <c r="I1564" s="760"/>
    </row>
    <row r="1565">
      <c r="A1565" s="356"/>
      <c r="B1565" s="759"/>
      <c r="D1565" s="251"/>
      <c r="E1565" s="251"/>
      <c r="F1565" s="252"/>
      <c r="H1565" s="254"/>
      <c r="I1565" s="760"/>
    </row>
    <row r="1566">
      <c r="A1566" s="356"/>
      <c r="B1566" s="759"/>
      <c r="D1566" s="251"/>
      <c r="E1566" s="251"/>
      <c r="F1566" s="252"/>
      <c r="H1566" s="254"/>
      <c r="I1566" s="760"/>
    </row>
    <row r="1567">
      <c r="A1567" s="356"/>
      <c r="B1567" s="759"/>
      <c r="D1567" s="251"/>
      <c r="E1567" s="251"/>
      <c r="F1567" s="252"/>
      <c r="H1567" s="254"/>
      <c r="I1567" s="760"/>
    </row>
    <row r="1568">
      <c r="A1568" s="356"/>
      <c r="B1568" s="759"/>
      <c r="D1568" s="251"/>
      <c r="E1568" s="251"/>
      <c r="F1568" s="252"/>
      <c r="H1568" s="254"/>
      <c r="I1568" s="760"/>
    </row>
    <row r="1569">
      <c r="A1569" s="356"/>
      <c r="B1569" s="759"/>
      <c r="D1569" s="251"/>
      <c r="E1569" s="251"/>
      <c r="F1569" s="252"/>
      <c r="H1569" s="254"/>
      <c r="I1569" s="760"/>
    </row>
    <row r="1570">
      <c r="A1570" s="356"/>
      <c r="B1570" s="759"/>
      <c r="D1570" s="251"/>
      <c r="E1570" s="251"/>
      <c r="F1570" s="252"/>
      <c r="H1570" s="254"/>
      <c r="I1570" s="760"/>
    </row>
    <row r="1571">
      <c r="A1571" s="356"/>
      <c r="B1571" s="759"/>
      <c r="D1571" s="251"/>
      <c r="E1571" s="251"/>
      <c r="F1571" s="252"/>
      <c r="H1571" s="254"/>
      <c r="I1571" s="760"/>
    </row>
    <row r="1572">
      <c r="A1572" s="356"/>
      <c r="B1572" s="759"/>
      <c r="D1572" s="251"/>
      <c r="E1572" s="251"/>
      <c r="F1572" s="252"/>
      <c r="H1572" s="254"/>
      <c r="I1572" s="760"/>
    </row>
    <row r="1573">
      <c r="A1573" s="356"/>
      <c r="B1573" s="759"/>
      <c r="D1573" s="251"/>
      <c r="E1573" s="251"/>
      <c r="F1573" s="252"/>
      <c r="H1573" s="254"/>
      <c r="I1573" s="760"/>
    </row>
    <row r="1574">
      <c r="A1574" s="356"/>
      <c r="B1574" s="759"/>
      <c r="D1574" s="251"/>
      <c r="E1574" s="251"/>
      <c r="F1574" s="252"/>
      <c r="H1574" s="254"/>
      <c r="I1574" s="760"/>
    </row>
    <row r="1575">
      <c r="A1575" s="356"/>
      <c r="B1575" s="759"/>
      <c r="D1575" s="251"/>
      <c r="E1575" s="251"/>
      <c r="F1575" s="252"/>
      <c r="H1575" s="254"/>
      <c r="I1575" s="760"/>
    </row>
    <row r="1576">
      <c r="A1576" s="356"/>
      <c r="B1576" s="759"/>
      <c r="D1576" s="251"/>
      <c r="E1576" s="251"/>
      <c r="F1576" s="252"/>
      <c r="H1576" s="254"/>
      <c r="I1576" s="760"/>
    </row>
    <row r="1577">
      <c r="A1577" s="356"/>
      <c r="B1577" s="759"/>
      <c r="D1577" s="251"/>
      <c r="E1577" s="251"/>
      <c r="F1577" s="252"/>
      <c r="H1577" s="254"/>
      <c r="I1577" s="760"/>
    </row>
    <row r="1578">
      <c r="A1578" s="356"/>
      <c r="B1578" s="759"/>
      <c r="D1578" s="251"/>
      <c r="E1578" s="251"/>
      <c r="F1578" s="252"/>
      <c r="H1578" s="254"/>
      <c r="I1578" s="760"/>
    </row>
    <row r="1579">
      <c r="A1579" s="356"/>
      <c r="B1579" s="759"/>
      <c r="D1579" s="251"/>
      <c r="E1579" s="251"/>
      <c r="F1579" s="252"/>
      <c r="H1579" s="254"/>
      <c r="I1579" s="760"/>
    </row>
    <row r="1580">
      <c r="A1580" s="356"/>
      <c r="B1580" s="759"/>
      <c r="D1580" s="251"/>
      <c r="E1580" s="251"/>
      <c r="F1580" s="252"/>
      <c r="H1580" s="254"/>
      <c r="I1580" s="760"/>
    </row>
    <row r="1581">
      <c r="A1581" s="356"/>
      <c r="B1581" s="759"/>
      <c r="D1581" s="251"/>
      <c r="E1581" s="251"/>
      <c r="F1581" s="252"/>
      <c r="H1581" s="254"/>
      <c r="I1581" s="760"/>
    </row>
    <row r="1582">
      <c r="A1582" s="356"/>
      <c r="B1582" s="759"/>
      <c r="D1582" s="251"/>
      <c r="E1582" s="251"/>
      <c r="F1582" s="252"/>
      <c r="H1582" s="254"/>
      <c r="I1582" s="760"/>
    </row>
    <row r="1583">
      <c r="A1583" s="356"/>
      <c r="B1583" s="759"/>
      <c r="D1583" s="251"/>
      <c r="E1583" s="251"/>
      <c r="F1583" s="252"/>
      <c r="H1583" s="254"/>
      <c r="I1583" s="760"/>
    </row>
    <row r="1584">
      <c r="A1584" s="356"/>
      <c r="B1584" s="759"/>
      <c r="D1584" s="251"/>
      <c r="E1584" s="251"/>
      <c r="F1584" s="252"/>
      <c r="H1584" s="254"/>
      <c r="I1584" s="760"/>
    </row>
    <row r="1585">
      <c r="A1585" s="356"/>
      <c r="B1585" s="759"/>
      <c r="D1585" s="251"/>
      <c r="E1585" s="251"/>
      <c r="F1585" s="252"/>
      <c r="H1585" s="254"/>
      <c r="I1585" s="760"/>
    </row>
    <row r="1586">
      <c r="A1586" s="356"/>
      <c r="B1586" s="759"/>
      <c r="D1586" s="251"/>
      <c r="E1586" s="251"/>
      <c r="F1586" s="252"/>
      <c r="H1586" s="254"/>
      <c r="I1586" s="760"/>
    </row>
    <row r="1587">
      <c r="A1587" s="356"/>
      <c r="B1587" s="759"/>
      <c r="D1587" s="251"/>
      <c r="E1587" s="251"/>
      <c r="F1587" s="252"/>
      <c r="H1587" s="254"/>
      <c r="I1587" s="760"/>
    </row>
    <row r="1588">
      <c r="A1588" s="356"/>
      <c r="B1588" s="759"/>
      <c r="D1588" s="251"/>
      <c r="E1588" s="251"/>
      <c r="F1588" s="252"/>
      <c r="H1588" s="254"/>
      <c r="I1588" s="760"/>
    </row>
    <row r="1589">
      <c r="A1589" s="356"/>
      <c r="B1589" s="759"/>
      <c r="D1589" s="251"/>
      <c r="E1589" s="251"/>
      <c r="F1589" s="252"/>
      <c r="H1589" s="254"/>
      <c r="I1589" s="760"/>
    </row>
    <row r="1590">
      <c r="A1590" s="356"/>
      <c r="B1590" s="759"/>
      <c r="D1590" s="251"/>
      <c r="E1590" s="251"/>
      <c r="F1590" s="252"/>
      <c r="H1590" s="254"/>
      <c r="I1590" s="760"/>
    </row>
    <row r="1591">
      <c r="A1591" s="356"/>
      <c r="B1591" s="759"/>
      <c r="D1591" s="251"/>
      <c r="E1591" s="251"/>
      <c r="F1591" s="252"/>
      <c r="H1591" s="254"/>
      <c r="I1591" s="760"/>
    </row>
    <row r="1592">
      <c r="A1592" s="356"/>
      <c r="B1592" s="759"/>
      <c r="D1592" s="251"/>
      <c r="E1592" s="251"/>
      <c r="F1592" s="252"/>
      <c r="H1592" s="254"/>
      <c r="I1592" s="760"/>
    </row>
    <row r="1593">
      <c r="A1593" s="356"/>
      <c r="B1593" s="759"/>
      <c r="D1593" s="251"/>
      <c r="E1593" s="251"/>
      <c r="F1593" s="252"/>
      <c r="H1593" s="254"/>
      <c r="I1593" s="760"/>
    </row>
    <row r="1594">
      <c r="A1594" s="356"/>
      <c r="B1594" s="759"/>
      <c r="D1594" s="251"/>
      <c r="E1594" s="251"/>
      <c r="F1594" s="252"/>
      <c r="H1594" s="254"/>
      <c r="I1594" s="760"/>
    </row>
    <row r="1595">
      <c r="A1595" s="356"/>
      <c r="B1595" s="759"/>
      <c r="D1595" s="251"/>
      <c r="E1595" s="251"/>
      <c r="F1595" s="252"/>
      <c r="H1595" s="254"/>
      <c r="I1595" s="760"/>
    </row>
    <row r="1596">
      <c r="A1596" s="356"/>
      <c r="B1596" s="759"/>
      <c r="D1596" s="251"/>
      <c r="E1596" s="251"/>
      <c r="F1596" s="252"/>
      <c r="H1596" s="254"/>
      <c r="I1596" s="760"/>
    </row>
    <row r="1597">
      <c r="A1597" s="356"/>
      <c r="B1597" s="759"/>
      <c r="D1597" s="251"/>
      <c r="E1597" s="251"/>
      <c r="F1597" s="252"/>
      <c r="H1597" s="254"/>
      <c r="I1597" s="760"/>
    </row>
    <row r="1598">
      <c r="A1598" s="356"/>
      <c r="B1598" s="759"/>
      <c r="D1598" s="251"/>
      <c r="E1598" s="251"/>
      <c r="F1598" s="252"/>
      <c r="H1598" s="254"/>
      <c r="I1598" s="760"/>
    </row>
    <row r="1599">
      <c r="A1599" s="356"/>
      <c r="B1599" s="759"/>
      <c r="D1599" s="251"/>
      <c r="E1599" s="251"/>
      <c r="F1599" s="252"/>
      <c r="H1599" s="254"/>
      <c r="I1599" s="760"/>
    </row>
    <row r="1600">
      <c r="A1600" s="356"/>
      <c r="B1600" s="759"/>
      <c r="D1600" s="251"/>
      <c r="E1600" s="251"/>
      <c r="F1600" s="252"/>
      <c r="H1600" s="254"/>
      <c r="I1600" s="760"/>
    </row>
    <row r="1601">
      <c r="A1601" s="356"/>
      <c r="B1601" s="759"/>
      <c r="D1601" s="251"/>
      <c r="E1601" s="251"/>
      <c r="F1601" s="252"/>
      <c r="H1601" s="254"/>
      <c r="I1601" s="760"/>
    </row>
    <row r="1602">
      <c r="A1602" s="356"/>
      <c r="B1602" s="759"/>
      <c r="D1602" s="251"/>
      <c r="E1602" s="251"/>
      <c r="F1602" s="252"/>
      <c r="H1602" s="254"/>
      <c r="I1602" s="760"/>
    </row>
    <row r="1603">
      <c r="A1603" s="356"/>
      <c r="B1603" s="759"/>
      <c r="D1603" s="251"/>
      <c r="E1603" s="251"/>
      <c r="F1603" s="252"/>
      <c r="H1603" s="254"/>
      <c r="I1603" s="760"/>
    </row>
    <row r="1604">
      <c r="A1604" s="356"/>
      <c r="B1604" s="759"/>
      <c r="D1604" s="251"/>
      <c r="E1604" s="251"/>
      <c r="F1604" s="252"/>
      <c r="H1604" s="254"/>
      <c r="I1604" s="760"/>
    </row>
    <row r="1605">
      <c r="A1605" s="356"/>
      <c r="B1605" s="759"/>
      <c r="D1605" s="251"/>
      <c r="E1605" s="251"/>
      <c r="F1605" s="252"/>
      <c r="H1605" s="254"/>
      <c r="I1605" s="760"/>
    </row>
    <row r="1606">
      <c r="A1606" s="356"/>
      <c r="B1606" s="759"/>
      <c r="D1606" s="251"/>
      <c r="E1606" s="251"/>
      <c r="F1606" s="252"/>
      <c r="H1606" s="254"/>
      <c r="I1606" s="760"/>
    </row>
    <row r="1607">
      <c r="A1607" s="356"/>
      <c r="B1607" s="759"/>
      <c r="D1607" s="251"/>
      <c r="E1607" s="251"/>
      <c r="F1607" s="252"/>
      <c r="H1607" s="254"/>
      <c r="I1607" s="760"/>
    </row>
    <row r="1608">
      <c r="A1608" s="356"/>
      <c r="B1608" s="759"/>
      <c r="D1608" s="251"/>
      <c r="E1608" s="251"/>
      <c r="F1608" s="252"/>
      <c r="H1608" s="254"/>
      <c r="I1608" s="760"/>
    </row>
    <row r="1609">
      <c r="A1609" s="356"/>
      <c r="B1609" s="759"/>
      <c r="D1609" s="251"/>
      <c r="E1609" s="251"/>
      <c r="F1609" s="252"/>
      <c r="H1609" s="254"/>
      <c r="I1609" s="760"/>
    </row>
    <row r="1610">
      <c r="A1610" s="356"/>
      <c r="B1610" s="759"/>
      <c r="D1610" s="251"/>
      <c r="E1610" s="251"/>
      <c r="F1610" s="252"/>
      <c r="H1610" s="254"/>
      <c r="I1610" s="760"/>
    </row>
    <row r="1611">
      <c r="A1611" s="356"/>
      <c r="B1611" s="759"/>
      <c r="D1611" s="251"/>
      <c r="E1611" s="251"/>
      <c r="F1611" s="252"/>
      <c r="H1611" s="254"/>
      <c r="I1611" s="760"/>
    </row>
    <row r="1612">
      <c r="A1612" s="356"/>
      <c r="B1612" s="759"/>
      <c r="D1612" s="251"/>
      <c r="E1612" s="251"/>
      <c r="F1612" s="252"/>
      <c r="H1612" s="254"/>
      <c r="I1612" s="760"/>
    </row>
    <row r="1613">
      <c r="A1613" s="356"/>
      <c r="B1613" s="759"/>
      <c r="D1613" s="251"/>
      <c r="E1613" s="251"/>
      <c r="F1613" s="252"/>
      <c r="H1613" s="254"/>
      <c r="I1613" s="760"/>
    </row>
    <row r="1614">
      <c r="A1614" s="356"/>
      <c r="B1614" s="759"/>
      <c r="D1614" s="251"/>
      <c r="E1614" s="251"/>
      <c r="F1614" s="252"/>
      <c r="H1614" s="254"/>
      <c r="I1614" s="760"/>
    </row>
    <row r="1615">
      <c r="A1615" s="356"/>
      <c r="B1615" s="759"/>
      <c r="D1615" s="251"/>
      <c r="E1615" s="251"/>
      <c r="F1615" s="252"/>
      <c r="H1615" s="254"/>
      <c r="I1615" s="760"/>
    </row>
    <row r="1616">
      <c r="A1616" s="356"/>
      <c r="B1616" s="759"/>
      <c r="D1616" s="251"/>
      <c r="E1616" s="251"/>
      <c r="F1616" s="252"/>
      <c r="H1616" s="254"/>
      <c r="I1616" s="760"/>
    </row>
    <row r="1617">
      <c r="A1617" s="356"/>
      <c r="B1617" s="759"/>
      <c r="D1617" s="251"/>
      <c r="E1617" s="251"/>
      <c r="F1617" s="252"/>
      <c r="H1617" s="254"/>
      <c r="I1617" s="760"/>
    </row>
    <row r="1618">
      <c r="A1618" s="356"/>
      <c r="B1618" s="759"/>
      <c r="D1618" s="251"/>
      <c r="E1618" s="251"/>
      <c r="F1618" s="252"/>
      <c r="H1618" s="254"/>
      <c r="I1618" s="760"/>
    </row>
    <row r="1619">
      <c r="A1619" s="356"/>
      <c r="B1619" s="759"/>
      <c r="D1619" s="251"/>
      <c r="E1619" s="251"/>
      <c r="F1619" s="252"/>
      <c r="H1619" s="254"/>
      <c r="I1619" s="760"/>
    </row>
    <row r="1620">
      <c r="A1620" s="356"/>
      <c r="B1620" s="759"/>
      <c r="D1620" s="251"/>
      <c r="E1620" s="251"/>
      <c r="F1620" s="252"/>
      <c r="H1620" s="254"/>
      <c r="I1620" s="760"/>
    </row>
    <row r="1621">
      <c r="A1621" s="356"/>
      <c r="B1621" s="759"/>
      <c r="D1621" s="251"/>
      <c r="E1621" s="251"/>
      <c r="F1621" s="252"/>
      <c r="H1621" s="254"/>
      <c r="I1621" s="760"/>
    </row>
    <row r="1622">
      <c r="A1622" s="356"/>
      <c r="B1622" s="759"/>
      <c r="D1622" s="251"/>
      <c r="E1622" s="251"/>
      <c r="F1622" s="252"/>
      <c r="H1622" s="254"/>
      <c r="I1622" s="760"/>
    </row>
    <row r="1623">
      <c r="A1623" s="356"/>
      <c r="B1623" s="759"/>
      <c r="D1623" s="251"/>
      <c r="E1623" s="251"/>
      <c r="F1623" s="252"/>
      <c r="H1623" s="254"/>
      <c r="I1623" s="760"/>
    </row>
    <row r="1624">
      <c r="A1624" s="356"/>
      <c r="B1624" s="759"/>
      <c r="D1624" s="251"/>
      <c r="E1624" s="251"/>
      <c r="F1624" s="252"/>
      <c r="H1624" s="254"/>
      <c r="I1624" s="760"/>
    </row>
    <row r="1625">
      <c r="A1625" s="356"/>
      <c r="B1625" s="759"/>
      <c r="D1625" s="251"/>
      <c r="E1625" s="251"/>
      <c r="F1625" s="252"/>
      <c r="H1625" s="254"/>
      <c r="I1625" s="760"/>
    </row>
    <row r="1626">
      <c r="A1626" s="356"/>
      <c r="B1626" s="759"/>
      <c r="D1626" s="251"/>
      <c r="E1626" s="251"/>
      <c r="F1626" s="252"/>
      <c r="H1626" s="254"/>
      <c r="I1626" s="760"/>
    </row>
    <row r="1627">
      <c r="A1627" s="356"/>
      <c r="B1627" s="759"/>
      <c r="D1627" s="251"/>
      <c r="E1627" s="251"/>
      <c r="F1627" s="252"/>
      <c r="H1627" s="254"/>
      <c r="I1627" s="760"/>
    </row>
    <row r="1628">
      <c r="A1628" s="356"/>
      <c r="B1628" s="759"/>
      <c r="D1628" s="251"/>
      <c r="E1628" s="251"/>
      <c r="F1628" s="252"/>
      <c r="H1628" s="254"/>
      <c r="I1628" s="760"/>
    </row>
    <row r="1629">
      <c r="A1629" s="356"/>
      <c r="B1629" s="759"/>
      <c r="D1629" s="251"/>
      <c r="E1629" s="251"/>
      <c r="F1629" s="252"/>
      <c r="H1629" s="254"/>
      <c r="I1629" s="760"/>
    </row>
    <row r="1630">
      <c r="A1630" s="356"/>
      <c r="B1630" s="759"/>
      <c r="D1630" s="251"/>
      <c r="E1630" s="251"/>
      <c r="F1630" s="252"/>
      <c r="H1630" s="254"/>
      <c r="I1630" s="760"/>
    </row>
    <row r="1631">
      <c r="A1631" s="356"/>
      <c r="B1631" s="759"/>
      <c r="D1631" s="251"/>
      <c r="E1631" s="251"/>
      <c r="F1631" s="252"/>
      <c r="H1631" s="254"/>
      <c r="I1631" s="760"/>
    </row>
    <row r="1632">
      <c r="A1632" s="356"/>
      <c r="B1632" s="759"/>
      <c r="D1632" s="251"/>
      <c r="E1632" s="251"/>
      <c r="F1632" s="252"/>
      <c r="H1632" s="254"/>
      <c r="I1632" s="760"/>
    </row>
    <row r="1633">
      <c r="A1633" s="356"/>
      <c r="B1633" s="759"/>
      <c r="D1633" s="251"/>
      <c r="E1633" s="251"/>
      <c r="F1633" s="252"/>
      <c r="H1633" s="254"/>
      <c r="I1633" s="760"/>
    </row>
    <row r="1634">
      <c r="A1634" s="356"/>
      <c r="B1634" s="759"/>
      <c r="D1634" s="251"/>
      <c r="E1634" s="251"/>
      <c r="F1634" s="252"/>
      <c r="H1634" s="254"/>
      <c r="I1634" s="760"/>
    </row>
    <row r="1635">
      <c r="A1635" s="356"/>
      <c r="B1635" s="759"/>
      <c r="D1635" s="251"/>
      <c r="E1635" s="251"/>
      <c r="F1635" s="252"/>
      <c r="H1635" s="254"/>
      <c r="I1635" s="760"/>
    </row>
    <row r="1636">
      <c r="A1636" s="356"/>
      <c r="B1636" s="759"/>
      <c r="D1636" s="251"/>
      <c r="E1636" s="251"/>
      <c r="F1636" s="252"/>
      <c r="H1636" s="254"/>
      <c r="I1636" s="760"/>
    </row>
    <row r="1637">
      <c r="A1637" s="356"/>
      <c r="B1637" s="759"/>
      <c r="D1637" s="251"/>
      <c r="E1637" s="251"/>
      <c r="F1637" s="252"/>
      <c r="H1637" s="254"/>
      <c r="I1637" s="760"/>
    </row>
    <row r="1638">
      <c r="A1638" s="356"/>
      <c r="B1638" s="759"/>
      <c r="D1638" s="251"/>
      <c r="E1638" s="251"/>
      <c r="F1638" s="252"/>
      <c r="H1638" s="254"/>
      <c r="I1638" s="760"/>
    </row>
    <row r="1639">
      <c r="A1639" s="356"/>
      <c r="B1639" s="759"/>
      <c r="D1639" s="251"/>
      <c r="E1639" s="251"/>
      <c r="F1639" s="252"/>
      <c r="H1639" s="254"/>
      <c r="I1639" s="760"/>
    </row>
    <row r="1640">
      <c r="A1640" s="356"/>
      <c r="B1640" s="759"/>
      <c r="D1640" s="251"/>
      <c r="E1640" s="251"/>
      <c r="F1640" s="252"/>
      <c r="H1640" s="254"/>
      <c r="I1640" s="760"/>
    </row>
    <row r="1641">
      <c r="A1641" s="356"/>
      <c r="B1641" s="759"/>
      <c r="D1641" s="251"/>
      <c r="E1641" s="251"/>
      <c r="F1641" s="252"/>
      <c r="H1641" s="254"/>
      <c r="I1641" s="760"/>
    </row>
    <row r="1642">
      <c r="A1642" s="356"/>
      <c r="B1642" s="759"/>
      <c r="D1642" s="251"/>
      <c r="E1642" s="251"/>
      <c r="F1642" s="252"/>
      <c r="H1642" s="254"/>
      <c r="I1642" s="760"/>
    </row>
    <row r="1643">
      <c r="A1643" s="356"/>
      <c r="B1643" s="759"/>
      <c r="D1643" s="251"/>
      <c r="E1643" s="251"/>
      <c r="F1643" s="252"/>
      <c r="H1643" s="254"/>
      <c r="I1643" s="760"/>
    </row>
    <row r="1644">
      <c r="A1644" s="356"/>
      <c r="B1644" s="759"/>
      <c r="D1644" s="251"/>
      <c r="E1644" s="251"/>
      <c r="F1644" s="252"/>
      <c r="H1644" s="254"/>
      <c r="I1644" s="760"/>
    </row>
    <row r="1645">
      <c r="A1645" s="356"/>
      <c r="B1645" s="759"/>
      <c r="D1645" s="251"/>
      <c r="E1645" s="251"/>
      <c r="F1645" s="252"/>
      <c r="H1645" s="254"/>
      <c r="I1645" s="760"/>
    </row>
    <row r="1646">
      <c r="A1646" s="356"/>
      <c r="B1646" s="759"/>
      <c r="D1646" s="251"/>
      <c r="E1646" s="251"/>
      <c r="F1646" s="252"/>
      <c r="H1646" s="254"/>
      <c r="I1646" s="760"/>
    </row>
    <row r="1647">
      <c r="A1647" s="356"/>
      <c r="B1647" s="759"/>
      <c r="D1647" s="251"/>
      <c r="E1647" s="251"/>
      <c r="F1647" s="252"/>
      <c r="H1647" s="254"/>
      <c r="I1647" s="760"/>
    </row>
    <row r="1648">
      <c r="A1648" s="356"/>
      <c r="B1648" s="759"/>
      <c r="D1648" s="251"/>
      <c r="E1648" s="251"/>
      <c r="F1648" s="252"/>
      <c r="H1648" s="254"/>
      <c r="I1648" s="760"/>
    </row>
    <row r="1649">
      <c r="A1649" s="356"/>
      <c r="B1649" s="759"/>
      <c r="D1649" s="251"/>
      <c r="E1649" s="251"/>
      <c r="F1649" s="252"/>
      <c r="H1649" s="254"/>
      <c r="I1649" s="760"/>
    </row>
    <row r="1650">
      <c r="A1650" s="356"/>
      <c r="B1650" s="759"/>
      <c r="D1650" s="251"/>
      <c r="E1650" s="251"/>
      <c r="F1650" s="252"/>
      <c r="H1650" s="254"/>
      <c r="I1650" s="760"/>
    </row>
    <row r="1651">
      <c r="A1651" s="356"/>
      <c r="B1651" s="759"/>
      <c r="D1651" s="251"/>
      <c r="E1651" s="251"/>
      <c r="F1651" s="252"/>
      <c r="H1651" s="254"/>
      <c r="I1651" s="760"/>
    </row>
    <row r="1652">
      <c r="A1652" s="356"/>
      <c r="B1652" s="759"/>
      <c r="D1652" s="251"/>
      <c r="E1652" s="251"/>
      <c r="F1652" s="252"/>
      <c r="H1652" s="254"/>
      <c r="I1652" s="760"/>
    </row>
    <row r="1653">
      <c r="A1653" s="356"/>
      <c r="B1653" s="759"/>
      <c r="D1653" s="251"/>
      <c r="E1653" s="251"/>
      <c r="F1653" s="252"/>
      <c r="H1653" s="254"/>
      <c r="I1653" s="760"/>
    </row>
    <row r="1654">
      <c r="A1654" s="356"/>
      <c r="B1654" s="759"/>
      <c r="D1654" s="251"/>
      <c r="E1654" s="251"/>
      <c r="F1654" s="252"/>
      <c r="H1654" s="254"/>
      <c r="I1654" s="760"/>
    </row>
    <row r="1655">
      <c r="A1655" s="356"/>
      <c r="B1655" s="759"/>
      <c r="D1655" s="251"/>
      <c r="E1655" s="251"/>
      <c r="F1655" s="252"/>
      <c r="H1655" s="254"/>
      <c r="I1655" s="760"/>
    </row>
    <row r="1656">
      <c r="A1656" s="356"/>
      <c r="B1656" s="759"/>
      <c r="D1656" s="251"/>
      <c r="E1656" s="251"/>
      <c r="F1656" s="252"/>
      <c r="H1656" s="254"/>
      <c r="I1656" s="760"/>
    </row>
    <row r="1657">
      <c r="A1657" s="356"/>
      <c r="B1657" s="759"/>
      <c r="D1657" s="251"/>
      <c r="E1657" s="251"/>
      <c r="F1657" s="252"/>
      <c r="H1657" s="254"/>
      <c r="I1657" s="760"/>
    </row>
    <row r="1658">
      <c r="A1658" s="356"/>
      <c r="B1658" s="759"/>
      <c r="D1658" s="251"/>
      <c r="E1658" s="251"/>
      <c r="F1658" s="252"/>
      <c r="H1658" s="254"/>
      <c r="I1658" s="760"/>
    </row>
    <row r="1659">
      <c r="A1659" s="356"/>
      <c r="B1659" s="759"/>
      <c r="D1659" s="251"/>
      <c r="E1659" s="251"/>
      <c r="F1659" s="252"/>
      <c r="H1659" s="254"/>
      <c r="I1659" s="760"/>
    </row>
    <row r="1660">
      <c r="A1660" s="356"/>
      <c r="B1660" s="759"/>
      <c r="D1660" s="251"/>
      <c r="E1660" s="251"/>
      <c r="F1660" s="252"/>
      <c r="H1660" s="254"/>
      <c r="I1660" s="760"/>
    </row>
    <row r="1661">
      <c r="A1661" s="356"/>
      <c r="B1661" s="759"/>
      <c r="D1661" s="251"/>
      <c r="E1661" s="251"/>
      <c r="F1661" s="252"/>
      <c r="H1661" s="254"/>
      <c r="I1661" s="760"/>
    </row>
    <row r="1662">
      <c r="A1662" s="356"/>
      <c r="B1662" s="759"/>
      <c r="D1662" s="251"/>
      <c r="E1662" s="251"/>
      <c r="F1662" s="252"/>
      <c r="H1662" s="254"/>
      <c r="I1662" s="760"/>
    </row>
    <row r="1663">
      <c r="A1663" s="356"/>
      <c r="B1663" s="759"/>
      <c r="D1663" s="251"/>
      <c r="E1663" s="251"/>
      <c r="F1663" s="252"/>
      <c r="H1663" s="254"/>
      <c r="I1663" s="760"/>
    </row>
    <row r="1664">
      <c r="A1664" s="356"/>
      <c r="B1664" s="759"/>
      <c r="D1664" s="251"/>
      <c r="E1664" s="251"/>
      <c r="F1664" s="252"/>
      <c r="H1664" s="254"/>
      <c r="I1664" s="760"/>
    </row>
    <row r="1665">
      <c r="A1665" s="356"/>
      <c r="B1665" s="759"/>
      <c r="D1665" s="251"/>
      <c r="E1665" s="251"/>
      <c r="F1665" s="252"/>
      <c r="H1665" s="254"/>
      <c r="I1665" s="760"/>
    </row>
    <row r="1666">
      <c r="A1666" s="356"/>
      <c r="B1666" s="759"/>
      <c r="D1666" s="251"/>
      <c r="E1666" s="251"/>
      <c r="F1666" s="252"/>
      <c r="H1666" s="254"/>
      <c r="I1666" s="760"/>
    </row>
    <row r="1667">
      <c r="A1667" s="356"/>
      <c r="B1667" s="759"/>
      <c r="D1667" s="251"/>
      <c r="E1667" s="251"/>
      <c r="F1667" s="252"/>
      <c r="H1667" s="254"/>
      <c r="I1667" s="760"/>
    </row>
    <row r="1668">
      <c r="A1668" s="356"/>
      <c r="B1668" s="759"/>
      <c r="D1668" s="251"/>
      <c r="E1668" s="251"/>
      <c r="F1668" s="252"/>
      <c r="H1668" s="254"/>
      <c r="I1668" s="760"/>
    </row>
    <row r="1669">
      <c r="A1669" s="356"/>
      <c r="B1669" s="759"/>
      <c r="D1669" s="251"/>
      <c r="E1669" s="251"/>
      <c r="F1669" s="252"/>
      <c r="H1669" s="254"/>
      <c r="I1669" s="760"/>
    </row>
    <row r="1670">
      <c r="A1670" s="356"/>
      <c r="B1670" s="759"/>
      <c r="D1670" s="251"/>
      <c r="E1670" s="251"/>
      <c r="F1670" s="252"/>
      <c r="H1670" s="254"/>
      <c r="I1670" s="760"/>
    </row>
    <row r="1671">
      <c r="A1671" s="356"/>
      <c r="B1671" s="759"/>
      <c r="D1671" s="251"/>
      <c r="E1671" s="251"/>
      <c r="F1671" s="252"/>
      <c r="H1671" s="254"/>
      <c r="I1671" s="760"/>
    </row>
    <row r="1672">
      <c r="A1672" s="356"/>
      <c r="B1672" s="759"/>
      <c r="D1672" s="251"/>
      <c r="E1672" s="251"/>
      <c r="F1672" s="252"/>
      <c r="H1672" s="254"/>
      <c r="I1672" s="760"/>
    </row>
    <row r="1673">
      <c r="A1673" s="356"/>
      <c r="B1673" s="759"/>
      <c r="D1673" s="251"/>
      <c r="E1673" s="251"/>
      <c r="F1673" s="252"/>
      <c r="H1673" s="254"/>
      <c r="I1673" s="760"/>
    </row>
    <row r="1674">
      <c r="A1674" s="356"/>
      <c r="B1674" s="759"/>
      <c r="D1674" s="251"/>
      <c r="E1674" s="251"/>
      <c r="F1674" s="252"/>
      <c r="H1674" s="254"/>
      <c r="I1674" s="760"/>
    </row>
    <row r="1675">
      <c r="A1675" s="356"/>
      <c r="B1675" s="759"/>
      <c r="D1675" s="251"/>
      <c r="E1675" s="251"/>
      <c r="F1675" s="252"/>
      <c r="H1675" s="254"/>
      <c r="I1675" s="760"/>
    </row>
    <row r="1676">
      <c r="A1676" s="356"/>
      <c r="B1676" s="759"/>
      <c r="D1676" s="251"/>
      <c r="E1676" s="251"/>
      <c r="F1676" s="252"/>
      <c r="H1676" s="254"/>
      <c r="I1676" s="760"/>
    </row>
    <row r="1677">
      <c r="A1677" s="356"/>
      <c r="B1677" s="759"/>
      <c r="D1677" s="251"/>
      <c r="E1677" s="251"/>
      <c r="F1677" s="252"/>
      <c r="H1677" s="254"/>
      <c r="I1677" s="760"/>
    </row>
    <row r="1678">
      <c r="A1678" s="356"/>
      <c r="B1678" s="759"/>
      <c r="D1678" s="251"/>
      <c r="E1678" s="251"/>
      <c r="F1678" s="252"/>
      <c r="H1678" s="254"/>
      <c r="I1678" s="760"/>
    </row>
    <row r="1679">
      <c r="A1679" s="356"/>
      <c r="B1679" s="759"/>
      <c r="D1679" s="251"/>
      <c r="E1679" s="251"/>
      <c r="F1679" s="252"/>
      <c r="H1679" s="254"/>
      <c r="I1679" s="760"/>
    </row>
    <row r="1680">
      <c r="A1680" s="356"/>
      <c r="B1680" s="759"/>
      <c r="D1680" s="251"/>
      <c r="E1680" s="251"/>
      <c r="F1680" s="252"/>
      <c r="H1680" s="254"/>
      <c r="I1680" s="760"/>
    </row>
    <row r="1681">
      <c r="A1681" s="356"/>
      <c r="B1681" s="759"/>
      <c r="D1681" s="251"/>
      <c r="E1681" s="251"/>
      <c r="F1681" s="252"/>
      <c r="H1681" s="254"/>
      <c r="I1681" s="760"/>
    </row>
    <row r="1682">
      <c r="A1682" s="356"/>
      <c r="B1682" s="759"/>
      <c r="D1682" s="251"/>
      <c r="E1682" s="251"/>
      <c r="F1682" s="252"/>
      <c r="H1682" s="254"/>
      <c r="I1682" s="760"/>
    </row>
    <row r="1683">
      <c r="A1683" s="356"/>
      <c r="B1683" s="759"/>
      <c r="D1683" s="251"/>
      <c r="E1683" s="251"/>
      <c r="F1683" s="252"/>
      <c r="H1683" s="254"/>
      <c r="I1683" s="760"/>
    </row>
    <row r="1684">
      <c r="A1684" s="356"/>
      <c r="B1684" s="759"/>
      <c r="D1684" s="251"/>
      <c r="E1684" s="251"/>
      <c r="F1684" s="252"/>
      <c r="H1684" s="254"/>
      <c r="I1684" s="760"/>
    </row>
    <row r="1685">
      <c r="A1685" s="356"/>
      <c r="B1685" s="759"/>
      <c r="D1685" s="251"/>
      <c r="E1685" s="251"/>
      <c r="F1685" s="252"/>
      <c r="H1685" s="254"/>
      <c r="I1685" s="760"/>
    </row>
    <row r="1686">
      <c r="A1686" s="356"/>
      <c r="B1686" s="759"/>
      <c r="D1686" s="251"/>
      <c r="E1686" s="251"/>
      <c r="F1686" s="252"/>
      <c r="H1686" s="254"/>
      <c r="I1686" s="760"/>
    </row>
    <row r="1687">
      <c r="A1687" s="356"/>
      <c r="B1687" s="759"/>
      <c r="D1687" s="251"/>
      <c r="E1687" s="251"/>
      <c r="F1687" s="252"/>
      <c r="H1687" s="254"/>
      <c r="I1687" s="760"/>
    </row>
    <row r="1688">
      <c r="A1688" s="356"/>
      <c r="B1688" s="759"/>
      <c r="D1688" s="251"/>
      <c r="E1688" s="251"/>
      <c r="F1688" s="252"/>
      <c r="H1688" s="254"/>
      <c r="I1688" s="760"/>
    </row>
    <row r="1689">
      <c r="A1689" s="356"/>
      <c r="B1689" s="759"/>
      <c r="D1689" s="251"/>
      <c r="E1689" s="251"/>
      <c r="F1689" s="252"/>
      <c r="H1689" s="254"/>
      <c r="I1689" s="760"/>
    </row>
    <row r="1690">
      <c r="A1690" s="356"/>
      <c r="B1690" s="759"/>
      <c r="D1690" s="251"/>
      <c r="E1690" s="251"/>
      <c r="F1690" s="252"/>
      <c r="H1690" s="254"/>
      <c r="I1690" s="760"/>
    </row>
    <row r="1691">
      <c r="A1691" s="356"/>
      <c r="B1691" s="759"/>
      <c r="D1691" s="251"/>
      <c r="E1691" s="251"/>
      <c r="F1691" s="252"/>
      <c r="H1691" s="254"/>
      <c r="I1691" s="760"/>
    </row>
    <row r="1692">
      <c r="A1692" s="356"/>
      <c r="B1692" s="759"/>
      <c r="D1692" s="251"/>
      <c r="E1692" s="251"/>
      <c r="F1692" s="252"/>
      <c r="H1692" s="254"/>
      <c r="I1692" s="760"/>
    </row>
    <row r="1693">
      <c r="A1693" s="356"/>
      <c r="B1693" s="759"/>
      <c r="D1693" s="251"/>
      <c r="E1693" s="251"/>
      <c r="F1693" s="252"/>
      <c r="H1693" s="254"/>
      <c r="I1693" s="760"/>
    </row>
    <row r="1694">
      <c r="A1694" s="356"/>
      <c r="B1694" s="759"/>
      <c r="D1694" s="251"/>
      <c r="E1694" s="251"/>
      <c r="F1694" s="252"/>
      <c r="H1694" s="254"/>
      <c r="I1694" s="760"/>
    </row>
    <row r="1695">
      <c r="A1695" s="356"/>
      <c r="B1695" s="759"/>
      <c r="D1695" s="251"/>
      <c r="E1695" s="251"/>
      <c r="F1695" s="252"/>
      <c r="H1695" s="254"/>
      <c r="I1695" s="760"/>
    </row>
    <row r="1696">
      <c r="A1696" s="356"/>
      <c r="B1696" s="759"/>
      <c r="D1696" s="251"/>
      <c r="E1696" s="251"/>
      <c r="F1696" s="252"/>
      <c r="H1696" s="254"/>
      <c r="I1696" s="760"/>
    </row>
    <row r="1697">
      <c r="A1697" s="356"/>
      <c r="B1697" s="759"/>
      <c r="D1697" s="251"/>
      <c r="E1697" s="251"/>
      <c r="F1697" s="252"/>
      <c r="H1697" s="254"/>
      <c r="I1697" s="760"/>
    </row>
    <row r="1698">
      <c r="A1698" s="356"/>
      <c r="B1698" s="759"/>
      <c r="D1698" s="251"/>
      <c r="E1698" s="251"/>
      <c r="F1698" s="252"/>
      <c r="H1698" s="254"/>
      <c r="I1698" s="760"/>
    </row>
    <row r="1699">
      <c r="A1699" s="356"/>
      <c r="B1699" s="759"/>
      <c r="D1699" s="251"/>
      <c r="E1699" s="251"/>
      <c r="F1699" s="252"/>
      <c r="H1699" s="254"/>
      <c r="I1699" s="760"/>
    </row>
    <row r="1700">
      <c r="A1700" s="356"/>
      <c r="B1700" s="759"/>
      <c r="D1700" s="251"/>
      <c r="E1700" s="251"/>
      <c r="F1700" s="252"/>
      <c r="H1700" s="254"/>
      <c r="I1700" s="760"/>
    </row>
    <row r="1701">
      <c r="A1701" s="356"/>
      <c r="B1701" s="759"/>
      <c r="D1701" s="251"/>
      <c r="E1701" s="251"/>
      <c r="F1701" s="252"/>
      <c r="H1701" s="254"/>
      <c r="I1701" s="760"/>
    </row>
    <row r="1702">
      <c r="A1702" s="356"/>
      <c r="B1702" s="759"/>
      <c r="D1702" s="251"/>
      <c r="E1702" s="251"/>
      <c r="F1702" s="252"/>
      <c r="H1702" s="254"/>
      <c r="I1702" s="760"/>
    </row>
    <row r="1703">
      <c r="A1703" s="356"/>
      <c r="B1703" s="759"/>
      <c r="D1703" s="251"/>
      <c r="E1703" s="251"/>
      <c r="F1703" s="252"/>
      <c r="H1703" s="254"/>
      <c r="I1703" s="760"/>
    </row>
    <row r="1704">
      <c r="A1704" s="356"/>
      <c r="B1704" s="759"/>
      <c r="D1704" s="251"/>
      <c r="E1704" s="251"/>
      <c r="F1704" s="252"/>
      <c r="H1704" s="254"/>
      <c r="I1704" s="760"/>
    </row>
    <row r="1705">
      <c r="A1705" s="356"/>
      <c r="B1705" s="759"/>
      <c r="D1705" s="251"/>
      <c r="E1705" s="251"/>
      <c r="F1705" s="252"/>
      <c r="H1705" s="254"/>
      <c r="I1705" s="760"/>
    </row>
    <row r="1706">
      <c r="A1706" s="356"/>
      <c r="B1706" s="759"/>
      <c r="D1706" s="251"/>
      <c r="E1706" s="251"/>
      <c r="F1706" s="252"/>
      <c r="H1706" s="254"/>
      <c r="I1706" s="760"/>
    </row>
    <row r="1707">
      <c r="A1707" s="356"/>
      <c r="B1707" s="759"/>
      <c r="D1707" s="251"/>
      <c r="E1707" s="251"/>
      <c r="F1707" s="252"/>
      <c r="H1707" s="254"/>
      <c r="I1707" s="760"/>
    </row>
    <row r="1708">
      <c r="A1708" s="356"/>
      <c r="B1708" s="759"/>
      <c r="D1708" s="251"/>
      <c r="E1708" s="251"/>
      <c r="F1708" s="252"/>
      <c r="H1708" s="254"/>
      <c r="I1708" s="760"/>
    </row>
    <row r="1709">
      <c r="A1709" s="356"/>
      <c r="B1709" s="759"/>
      <c r="D1709" s="251"/>
      <c r="E1709" s="251"/>
      <c r="F1709" s="252"/>
      <c r="H1709" s="254"/>
      <c r="I1709" s="760"/>
    </row>
    <row r="1710">
      <c r="A1710" s="356"/>
      <c r="B1710" s="759"/>
      <c r="D1710" s="251"/>
      <c r="E1710" s="251"/>
      <c r="F1710" s="252"/>
      <c r="H1710" s="254"/>
      <c r="I1710" s="760"/>
    </row>
    <row r="1711">
      <c r="A1711" s="356"/>
      <c r="B1711" s="759"/>
      <c r="D1711" s="251"/>
      <c r="E1711" s="251"/>
      <c r="F1711" s="252"/>
      <c r="H1711" s="254"/>
      <c r="I1711" s="760"/>
    </row>
    <row r="1712">
      <c r="A1712" s="356"/>
      <c r="B1712" s="759"/>
      <c r="D1712" s="251"/>
      <c r="E1712" s="251"/>
      <c r="F1712" s="252"/>
      <c r="H1712" s="254"/>
      <c r="I1712" s="760"/>
    </row>
    <row r="1713">
      <c r="A1713" s="356"/>
      <c r="B1713" s="759"/>
      <c r="D1713" s="251"/>
      <c r="E1713" s="251"/>
      <c r="F1713" s="252"/>
      <c r="H1713" s="254"/>
      <c r="I1713" s="760"/>
    </row>
    <row r="1714">
      <c r="A1714" s="356"/>
      <c r="B1714" s="759"/>
      <c r="D1714" s="251"/>
      <c r="E1714" s="251"/>
      <c r="F1714" s="252"/>
      <c r="H1714" s="254"/>
      <c r="I1714" s="760"/>
    </row>
    <row r="1715">
      <c r="A1715" s="356"/>
      <c r="B1715" s="759"/>
      <c r="D1715" s="251"/>
      <c r="E1715" s="251"/>
      <c r="F1715" s="252"/>
      <c r="H1715" s="254"/>
      <c r="I1715" s="760"/>
    </row>
    <row r="1716">
      <c r="A1716" s="356"/>
      <c r="B1716" s="759"/>
      <c r="D1716" s="251"/>
      <c r="E1716" s="251"/>
      <c r="F1716" s="252"/>
      <c r="H1716" s="254"/>
      <c r="I1716" s="760"/>
    </row>
    <row r="1717">
      <c r="A1717" s="356"/>
      <c r="B1717" s="759"/>
      <c r="D1717" s="251"/>
      <c r="E1717" s="251"/>
      <c r="F1717" s="252"/>
      <c r="H1717" s="254"/>
      <c r="I1717" s="760"/>
    </row>
    <row r="1718">
      <c r="A1718" s="356"/>
      <c r="B1718" s="759"/>
      <c r="D1718" s="251"/>
      <c r="E1718" s="251"/>
      <c r="F1718" s="252"/>
      <c r="H1718" s="254"/>
      <c r="I1718" s="760"/>
    </row>
    <row r="1719">
      <c r="A1719" s="356"/>
      <c r="B1719" s="759"/>
      <c r="D1719" s="251"/>
      <c r="E1719" s="251"/>
      <c r="F1719" s="252"/>
      <c r="H1719" s="254"/>
      <c r="I1719" s="760"/>
    </row>
    <row r="1720">
      <c r="A1720" s="356"/>
      <c r="B1720" s="759"/>
      <c r="D1720" s="251"/>
      <c r="E1720" s="251"/>
      <c r="F1720" s="252"/>
      <c r="H1720" s="254"/>
      <c r="I1720" s="760"/>
    </row>
    <row r="1721">
      <c r="A1721" s="356"/>
      <c r="B1721" s="759"/>
      <c r="D1721" s="251"/>
      <c r="E1721" s="251"/>
      <c r="F1721" s="252"/>
      <c r="H1721" s="254"/>
      <c r="I1721" s="760"/>
    </row>
    <row r="1722">
      <c r="A1722" s="356"/>
      <c r="B1722" s="759"/>
      <c r="D1722" s="251"/>
      <c r="E1722" s="251"/>
      <c r="F1722" s="252"/>
      <c r="H1722" s="254"/>
      <c r="I1722" s="760"/>
    </row>
    <row r="1723">
      <c r="A1723" s="356"/>
      <c r="B1723" s="759"/>
      <c r="D1723" s="251"/>
      <c r="E1723" s="251"/>
      <c r="F1723" s="252"/>
      <c r="H1723" s="254"/>
      <c r="I1723" s="760"/>
    </row>
    <row r="1724">
      <c r="A1724" s="356"/>
      <c r="B1724" s="759"/>
      <c r="D1724" s="251"/>
      <c r="E1724" s="251"/>
      <c r="F1724" s="252"/>
      <c r="H1724" s="254"/>
      <c r="I1724" s="760"/>
    </row>
    <row r="1725">
      <c r="A1725" s="356"/>
      <c r="B1725" s="759"/>
      <c r="D1725" s="251"/>
      <c r="E1725" s="251"/>
      <c r="F1725" s="252"/>
      <c r="H1725" s="254"/>
      <c r="I1725" s="760"/>
    </row>
    <row r="1726">
      <c r="A1726" s="356"/>
      <c r="B1726" s="759"/>
      <c r="D1726" s="251"/>
      <c r="E1726" s="251"/>
      <c r="F1726" s="252"/>
      <c r="H1726" s="254"/>
      <c r="I1726" s="760"/>
    </row>
    <row r="1727">
      <c r="A1727" s="356"/>
      <c r="B1727" s="759"/>
      <c r="D1727" s="251"/>
      <c r="E1727" s="251"/>
      <c r="F1727" s="252"/>
      <c r="H1727" s="254"/>
      <c r="I1727" s="760"/>
    </row>
    <row r="1728">
      <c r="A1728" s="356"/>
      <c r="B1728" s="759"/>
      <c r="D1728" s="251"/>
      <c r="E1728" s="251"/>
      <c r="F1728" s="252"/>
      <c r="H1728" s="254"/>
      <c r="I1728" s="760"/>
    </row>
    <row r="1729">
      <c r="A1729" s="356"/>
      <c r="B1729" s="759"/>
      <c r="D1729" s="251"/>
      <c r="E1729" s="251"/>
      <c r="F1729" s="252"/>
      <c r="H1729" s="254"/>
      <c r="I1729" s="760"/>
    </row>
    <row r="1730">
      <c r="A1730" s="356"/>
      <c r="B1730" s="759"/>
      <c r="D1730" s="251"/>
      <c r="E1730" s="251"/>
      <c r="F1730" s="252"/>
      <c r="H1730" s="254"/>
      <c r="I1730" s="760"/>
    </row>
    <row r="1731">
      <c r="A1731" s="356"/>
      <c r="B1731" s="759"/>
      <c r="D1731" s="251"/>
      <c r="E1731" s="251"/>
      <c r="F1731" s="252"/>
      <c r="H1731" s="254"/>
      <c r="I1731" s="760"/>
    </row>
    <row r="1732">
      <c r="A1732" s="356"/>
      <c r="B1732" s="759"/>
      <c r="D1732" s="251"/>
      <c r="E1732" s="251"/>
      <c r="F1732" s="252"/>
      <c r="H1732" s="254"/>
      <c r="I1732" s="760"/>
    </row>
    <row r="1733">
      <c r="A1733" s="356"/>
      <c r="B1733" s="759"/>
      <c r="D1733" s="251"/>
      <c r="E1733" s="251"/>
      <c r="F1733" s="252"/>
      <c r="H1733" s="254"/>
      <c r="I1733" s="760"/>
    </row>
    <row r="1734">
      <c r="A1734" s="356"/>
      <c r="B1734" s="759"/>
      <c r="D1734" s="251"/>
      <c r="E1734" s="251"/>
      <c r="F1734" s="252"/>
      <c r="H1734" s="254"/>
      <c r="I1734" s="760"/>
    </row>
    <row r="1735">
      <c r="A1735" s="356"/>
      <c r="B1735" s="759"/>
      <c r="D1735" s="251"/>
      <c r="E1735" s="251"/>
      <c r="F1735" s="252"/>
      <c r="H1735" s="254"/>
      <c r="I1735" s="760"/>
    </row>
    <row r="1736">
      <c r="A1736" s="356"/>
      <c r="B1736" s="759"/>
      <c r="D1736" s="251"/>
      <c r="E1736" s="251"/>
      <c r="F1736" s="252"/>
      <c r="H1736" s="254"/>
      <c r="I1736" s="760"/>
    </row>
    <row r="1737">
      <c r="A1737" s="356"/>
      <c r="B1737" s="759"/>
      <c r="D1737" s="251"/>
      <c r="E1737" s="251"/>
      <c r="F1737" s="252"/>
      <c r="H1737" s="254"/>
      <c r="I1737" s="760"/>
    </row>
    <row r="1738">
      <c r="A1738" s="356"/>
      <c r="B1738" s="759"/>
      <c r="D1738" s="251"/>
      <c r="E1738" s="251"/>
      <c r="F1738" s="252"/>
      <c r="H1738" s="254"/>
      <c r="I1738" s="760"/>
    </row>
    <row r="1739">
      <c r="A1739" s="356"/>
      <c r="B1739" s="759"/>
      <c r="D1739" s="251"/>
      <c r="E1739" s="251"/>
      <c r="F1739" s="252"/>
      <c r="H1739" s="254"/>
      <c r="I1739" s="760"/>
    </row>
    <row r="1740">
      <c r="A1740" s="356"/>
      <c r="B1740" s="759"/>
      <c r="D1740" s="251"/>
      <c r="E1740" s="251"/>
      <c r="F1740" s="252"/>
      <c r="H1740" s="254"/>
      <c r="I1740" s="760"/>
    </row>
    <row r="1741">
      <c r="A1741" s="356"/>
      <c r="B1741" s="759"/>
      <c r="D1741" s="251"/>
      <c r="E1741" s="251"/>
      <c r="F1741" s="252"/>
      <c r="H1741" s="254"/>
      <c r="I1741" s="760"/>
    </row>
    <row r="1742">
      <c r="A1742" s="356"/>
      <c r="B1742" s="759"/>
      <c r="D1742" s="251"/>
      <c r="E1742" s="251"/>
      <c r="F1742" s="252"/>
      <c r="H1742" s="254"/>
      <c r="I1742" s="760"/>
    </row>
    <row r="1743">
      <c r="A1743" s="356"/>
      <c r="B1743" s="759"/>
      <c r="D1743" s="251"/>
      <c r="E1743" s="251"/>
      <c r="F1743" s="252"/>
      <c r="H1743" s="254"/>
      <c r="I1743" s="760"/>
    </row>
    <row r="1744">
      <c r="A1744" s="356"/>
      <c r="B1744" s="759"/>
      <c r="D1744" s="251"/>
      <c r="E1744" s="251"/>
      <c r="F1744" s="252"/>
      <c r="H1744" s="254"/>
      <c r="I1744" s="760"/>
    </row>
    <row r="1745">
      <c r="A1745" s="356"/>
      <c r="B1745" s="759"/>
      <c r="D1745" s="251"/>
      <c r="E1745" s="251"/>
      <c r="F1745" s="252"/>
      <c r="H1745" s="254"/>
      <c r="I1745" s="760"/>
    </row>
    <row r="1746">
      <c r="A1746" s="356"/>
      <c r="B1746" s="759"/>
      <c r="D1746" s="251"/>
      <c r="E1746" s="251"/>
      <c r="F1746" s="252"/>
      <c r="H1746" s="254"/>
      <c r="I1746" s="760"/>
    </row>
    <row r="1747">
      <c r="A1747" s="356"/>
      <c r="B1747" s="759"/>
      <c r="D1747" s="251"/>
      <c r="E1747" s="251"/>
      <c r="F1747" s="252"/>
      <c r="H1747" s="254"/>
      <c r="I1747" s="760"/>
    </row>
    <row r="1748">
      <c r="A1748" s="356"/>
      <c r="B1748" s="759"/>
      <c r="D1748" s="251"/>
      <c r="E1748" s="251"/>
      <c r="F1748" s="252"/>
      <c r="H1748" s="254"/>
      <c r="I1748" s="760"/>
    </row>
    <row r="1749">
      <c r="A1749" s="356"/>
      <c r="B1749" s="759"/>
      <c r="D1749" s="251"/>
      <c r="E1749" s="251"/>
      <c r="F1749" s="252"/>
      <c r="H1749" s="254"/>
      <c r="I1749" s="760"/>
    </row>
    <row r="1750">
      <c r="A1750" s="356"/>
      <c r="B1750" s="759"/>
      <c r="D1750" s="251"/>
      <c r="E1750" s="251"/>
      <c r="F1750" s="252"/>
      <c r="H1750" s="254"/>
      <c r="I1750" s="760"/>
    </row>
    <row r="1751">
      <c r="A1751" s="356"/>
      <c r="B1751" s="759"/>
      <c r="D1751" s="251"/>
      <c r="E1751" s="251"/>
      <c r="F1751" s="252"/>
      <c r="H1751" s="254"/>
      <c r="I1751" s="760"/>
    </row>
    <row r="1752">
      <c r="A1752" s="356"/>
      <c r="B1752" s="759"/>
      <c r="D1752" s="251"/>
      <c r="E1752" s="251"/>
      <c r="F1752" s="252"/>
      <c r="H1752" s="254"/>
      <c r="I1752" s="760"/>
    </row>
    <row r="1753">
      <c r="A1753" s="356"/>
      <c r="B1753" s="759"/>
      <c r="D1753" s="251"/>
      <c r="E1753" s="251"/>
      <c r="F1753" s="252"/>
      <c r="H1753" s="254"/>
      <c r="I1753" s="760"/>
    </row>
    <row r="1754">
      <c r="A1754" s="356"/>
      <c r="B1754" s="759"/>
      <c r="D1754" s="251"/>
      <c r="E1754" s="251"/>
      <c r="F1754" s="252"/>
      <c r="H1754" s="254"/>
      <c r="I1754" s="760"/>
    </row>
    <row r="1755">
      <c r="A1755" s="356"/>
      <c r="B1755" s="759"/>
      <c r="D1755" s="251"/>
      <c r="E1755" s="251"/>
      <c r="F1755" s="252"/>
      <c r="H1755" s="254"/>
      <c r="I1755" s="760"/>
    </row>
    <row r="1756">
      <c r="A1756" s="356"/>
      <c r="B1756" s="759"/>
      <c r="D1756" s="251"/>
      <c r="E1756" s="251"/>
      <c r="F1756" s="252"/>
      <c r="H1756" s="254"/>
      <c r="I1756" s="760"/>
    </row>
    <row r="1757">
      <c r="A1757" s="356"/>
      <c r="B1757" s="759"/>
      <c r="D1757" s="251"/>
      <c r="E1757" s="251"/>
      <c r="F1757" s="252"/>
      <c r="H1757" s="254"/>
      <c r="I1757" s="760"/>
    </row>
    <row r="1758">
      <c r="A1758" s="356"/>
      <c r="B1758" s="759"/>
      <c r="D1758" s="251"/>
      <c r="E1758" s="251"/>
      <c r="F1758" s="252"/>
      <c r="H1758" s="254"/>
      <c r="I1758" s="760"/>
    </row>
    <row r="1759">
      <c r="A1759" s="356"/>
      <c r="B1759" s="759"/>
      <c r="D1759" s="251"/>
      <c r="E1759" s="251"/>
      <c r="F1759" s="252"/>
      <c r="H1759" s="254"/>
      <c r="I1759" s="760"/>
    </row>
    <row r="1760">
      <c r="A1760" s="356"/>
      <c r="B1760" s="759"/>
      <c r="D1760" s="251"/>
      <c r="E1760" s="251"/>
      <c r="F1760" s="252"/>
      <c r="H1760" s="254"/>
      <c r="I1760" s="760"/>
    </row>
    <row r="1761">
      <c r="A1761" s="356"/>
      <c r="B1761" s="759"/>
      <c r="D1761" s="251"/>
      <c r="E1761" s="251"/>
      <c r="F1761" s="252"/>
      <c r="H1761" s="254"/>
      <c r="I1761" s="760"/>
    </row>
    <row r="1762">
      <c r="A1762" s="356"/>
      <c r="B1762" s="759"/>
      <c r="D1762" s="251"/>
      <c r="E1762" s="251"/>
      <c r="F1762" s="252"/>
      <c r="H1762" s="254"/>
      <c r="I1762" s="760"/>
    </row>
    <row r="1763">
      <c r="A1763" s="356"/>
      <c r="B1763" s="759"/>
      <c r="D1763" s="251"/>
      <c r="E1763" s="251"/>
      <c r="F1763" s="252"/>
      <c r="H1763" s="254"/>
      <c r="I1763" s="760"/>
    </row>
    <row r="1764">
      <c r="A1764" s="356"/>
      <c r="B1764" s="759"/>
      <c r="D1764" s="251"/>
      <c r="E1764" s="251"/>
      <c r="F1764" s="252"/>
      <c r="H1764" s="254"/>
      <c r="I1764" s="760"/>
    </row>
    <row r="1765">
      <c r="A1765" s="356"/>
      <c r="B1765" s="759"/>
      <c r="D1765" s="251"/>
      <c r="E1765" s="251"/>
      <c r="F1765" s="252"/>
      <c r="H1765" s="254"/>
      <c r="I1765" s="760"/>
    </row>
    <row r="1766">
      <c r="A1766" s="356"/>
      <c r="B1766" s="759"/>
      <c r="D1766" s="251"/>
      <c r="E1766" s="251"/>
      <c r="F1766" s="252"/>
      <c r="H1766" s="254"/>
      <c r="I1766" s="760"/>
    </row>
    <row r="1767">
      <c r="A1767" s="356"/>
      <c r="B1767" s="759"/>
      <c r="D1767" s="251"/>
      <c r="E1767" s="251"/>
      <c r="F1767" s="252"/>
      <c r="H1767" s="254"/>
      <c r="I1767" s="760"/>
    </row>
    <row r="1768">
      <c r="A1768" s="356"/>
      <c r="B1768" s="759"/>
      <c r="D1768" s="251"/>
      <c r="E1768" s="251"/>
      <c r="F1768" s="252"/>
      <c r="H1768" s="254"/>
      <c r="I1768" s="760"/>
    </row>
    <row r="1769">
      <c r="A1769" s="356"/>
      <c r="B1769" s="759"/>
      <c r="D1769" s="251"/>
      <c r="E1769" s="251"/>
      <c r="F1769" s="252"/>
      <c r="H1769" s="254"/>
      <c r="I1769" s="760"/>
    </row>
    <row r="1770">
      <c r="A1770" s="356"/>
      <c r="B1770" s="759"/>
      <c r="D1770" s="251"/>
      <c r="E1770" s="251"/>
      <c r="F1770" s="252"/>
      <c r="H1770" s="254"/>
      <c r="I1770" s="760"/>
    </row>
    <row r="1771">
      <c r="A1771" s="356"/>
      <c r="B1771" s="759"/>
      <c r="D1771" s="251"/>
      <c r="E1771" s="251"/>
      <c r="F1771" s="252"/>
      <c r="H1771" s="254"/>
      <c r="I1771" s="760"/>
    </row>
    <row r="1772">
      <c r="A1772" s="356"/>
      <c r="B1772" s="759"/>
      <c r="D1772" s="251"/>
      <c r="E1772" s="251"/>
      <c r="F1772" s="252"/>
      <c r="H1772" s="254"/>
      <c r="I1772" s="760"/>
    </row>
    <row r="1773">
      <c r="A1773" s="356"/>
      <c r="B1773" s="759"/>
      <c r="D1773" s="251"/>
      <c r="E1773" s="251"/>
      <c r="F1773" s="252"/>
      <c r="H1773" s="254"/>
      <c r="I1773" s="760"/>
    </row>
    <row r="1774">
      <c r="A1774" s="356"/>
      <c r="B1774" s="759"/>
      <c r="D1774" s="251"/>
      <c r="E1774" s="251"/>
      <c r="F1774" s="252"/>
      <c r="H1774" s="254"/>
      <c r="I1774" s="760"/>
    </row>
    <row r="1775">
      <c r="A1775" s="356"/>
      <c r="B1775" s="759"/>
      <c r="D1775" s="251"/>
      <c r="E1775" s="251"/>
      <c r="F1775" s="252"/>
      <c r="H1775" s="254"/>
      <c r="I1775" s="760"/>
    </row>
    <row r="1776">
      <c r="A1776" s="356"/>
      <c r="B1776" s="759"/>
      <c r="D1776" s="251"/>
      <c r="E1776" s="251"/>
      <c r="F1776" s="252"/>
      <c r="H1776" s="254"/>
      <c r="I1776" s="760"/>
    </row>
    <row r="1777">
      <c r="A1777" s="356"/>
      <c r="B1777" s="759"/>
      <c r="D1777" s="251"/>
      <c r="E1777" s="251"/>
      <c r="F1777" s="252"/>
      <c r="H1777" s="254"/>
      <c r="I1777" s="760"/>
    </row>
    <row r="1778">
      <c r="A1778" s="356"/>
      <c r="B1778" s="759"/>
      <c r="D1778" s="251"/>
      <c r="E1778" s="251"/>
      <c r="F1778" s="252"/>
      <c r="H1778" s="254"/>
      <c r="I1778" s="760"/>
    </row>
    <row r="1779">
      <c r="A1779" s="356"/>
      <c r="B1779" s="759"/>
      <c r="D1779" s="251"/>
      <c r="E1779" s="251"/>
      <c r="F1779" s="252"/>
      <c r="H1779" s="254"/>
      <c r="I1779" s="760"/>
    </row>
    <row r="1780">
      <c r="A1780" s="356"/>
      <c r="B1780" s="759"/>
      <c r="D1780" s="251"/>
      <c r="E1780" s="251"/>
      <c r="F1780" s="252"/>
      <c r="H1780" s="254"/>
      <c r="I1780" s="760"/>
    </row>
    <row r="1781">
      <c r="A1781" s="356"/>
      <c r="B1781" s="759"/>
      <c r="D1781" s="251"/>
      <c r="E1781" s="251"/>
      <c r="F1781" s="252"/>
      <c r="H1781" s="254"/>
      <c r="I1781" s="760"/>
    </row>
    <row r="1782">
      <c r="A1782" s="356"/>
      <c r="B1782" s="759"/>
      <c r="D1782" s="251"/>
      <c r="E1782" s="251"/>
      <c r="F1782" s="252"/>
      <c r="H1782" s="254"/>
      <c r="I1782" s="760"/>
    </row>
    <row r="1783">
      <c r="A1783" s="356"/>
      <c r="B1783" s="759"/>
      <c r="D1783" s="251"/>
      <c r="E1783" s="251"/>
      <c r="F1783" s="252"/>
      <c r="H1783" s="254"/>
      <c r="I1783" s="760"/>
    </row>
    <row r="1784">
      <c r="A1784" s="356"/>
      <c r="B1784" s="759"/>
      <c r="D1784" s="251"/>
      <c r="E1784" s="251"/>
      <c r="F1784" s="252"/>
      <c r="H1784" s="254"/>
      <c r="I1784" s="760"/>
    </row>
    <row r="1785">
      <c r="A1785" s="356"/>
      <c r="B1785" s="759"/>
      <c r="D1785" s="251"/>
      <c r="E1785" s="251"/>
      <c r="F1785" s="252"/>
      <c r="H1785" s="254"/>
      <c r="I1785" s="760"/>
    </row>
    <row r="1786">
      <c r="A1786" s="356"/>
      <c r="B1786" s="759"/>
      <c r="D1786" s="251"/>
      <c r="E1786" s="251"/>
      <c r="F1786" s="252"/>
      <c r="H1786" s="254"/>
      <c r="I1786" s="760"/>
    </row>
    <row r="1787">
      <c r="A1787" s="356"/>
      <c r="B1787" s="759"/>
      <c r="D1787" s="251"/>
      <c r="E1787" s="251"/>
      <c r="F1787" s="252"/>
      <c r="H1787" s="254"/>
      <c r="I1787" s="760"/>
    </row>
    <row r="1788">
      <c r="A1788" s="356"/>
      <c r="B1788" s="759"/>
      <c r="D1788" s="251"/>
      <c r="E1788" s="251"/>
      <c r="F1788" s="252"/>
      <c r="H1788" s="254"/>
      <c r="I1788" s="760"/>
    </row>
    <row r="1789">
      <c r="A1789" s="356"/>
      <c r="B1789" s="759"/>
      <c r="D1789" s="251"/>
      <c r="E1789" s="251"/>
      <c r="F1789" s="252"/>
      <c r="H1789" s="254"/>
      <c r="I1789" s="760"/>
    </row>
    <row r="1790">
      <c r="A1790" s="356"/>
      <c r="B1790" s="759"/>
      <c r="D1790" s="251"/>
      <c r="E1790" s="251"/>
      <c r="F1790" s="252"/>
      <c r="H1790" s="254"/>
      <c r="I1790" s="760"/>
    </row>
    <row r="1791">
      <c r="A1791" s="356"/>
      <c r="B1791" s="759"/>
      <c r="D1791" s="251"/>
      <c r="E1791" s="251"/>
      <c r="F1791" s="252"/>
      <c r="H1791" s="254"/>
      <c r="I1791" s="760"/>
    </row>
    <row r="1792">
      <c r="A1792" s="356"/>
      <c r="B1792" s="759"/>
      <c r="D1792" s="251"/>
      <c r="E1792" s="251"/>
      <c r="F1792" s="252"/>
      <c r="H1792" s="254"/>
      <c r="I1792" s="760"/>
    </row>
    <row r="1793">
      <c r="A1793" s="356"/>
      <c r="B1793" s="759"/>
      <c r="D1793" s="251"/>
      <c r="E1793" s="251"/>
      <c r="F1793" s="252"/>
      <c r="H1793" s="254"/>
      <c r="I1793" s="760"/>
    </row>
    <row r="1794">
      <c r="A1794" s="356"/>
      <c r="B1794" s="759"/>
      <c r="D1794" s="251"/>
      <c r="E1794" s="251"/>
      <c r="F1794" s="252"/>
      <c r="H1794" s="254"/>
      <c r="I1794" s="760"/>
    </row>
    <row r="1795">
      <c r="A1795" s="356"/>
      <c r="B1795" s="759"/>
      <c r="D1795" s="251"/>
      <c r="E1795" s="251"/>
      <c r="F1795" s="252"/>
      <c r="H1795" s="254"/>
      <c r="I1795" s="760"/>
    </row>
    <row r="1796">
      <c r="A1796" s="356"/>
      <c r="B1796" s="759"/>
      <c r="D1796" s="251"/>
      <c r="E1796" s="251"/>
      <c r="F1796" s="252"/>
      <c r="H1796" s="254"/>
      <c r="I1796" s="760"/>
    </row>
    <row r="1797">
      <c r="A1797" s="356"/>
      <c r="B1797" s="759"/>
      <c r="D1797" s="251"/>
      <c r="E1797" s="251"/>
      <c r="F1797" s="252"/>
      <c r="H1797" s="254"/>
      <c r="I1797" s="760"/>
    </row>
    <row r="1798">
      <c r="A1798" s="356"/>
      <c r="B1798" s="759"/>
      <c r="D1798" s="251"/>
      <c r="E1798" s="251"/>
      <c r="F1798" s="252"/>
      <c r="H1798" s="254"/>
      <c r="I1798" s="760"/>
    </row>
    <row r="1799">
      <c r="A1799" s="356"/>
      <c r="B1799" s="759"/>
      <c r="D1799" s="251"/>
      <c r="E1799" s="251"/>
      <c r="F1799" s="252"/>
      <c r="H1799" s="254"/>
      <c r="I1799" s="760"/>
    </row>
    <row r="1800">
      <c r="A1800" s="356"/>
      <c r="B1800" s="759"/>
      <c r="D1800" s="251"/>
      <c r="E1800" s="251"/>
      <c r="F1800" s="252"/>
      <c r="H1800" s="254"/>
      <c r="I1800" s="760"/>
    </row>
    <row r="1801">
      <c r="A1801" s="356"/>
      <c r="B1801" s="759"/>
      <c r="D1801" s="251"/>
      <c r="E1801" s="251"/>
      <c r="F1801" s="252"/>
      <c r="H1801" s="254"/>
      <c r="I1801" s="760"/>
    </row>
    <row r="1802">
      <c r="A1802" s="356"/>
      <c r="B1802" s="759"/>
      <c r="D1802" s="251"/>
      <c r="E1802" s="251"/>
      <c r="F1802" s="252"/>
      <c r="H1802" s="254"/>
      <c r="I1802" s="760"/>
    </row>
    <row r="1803">
      <c r="A1803" s="356"/>
      <c r="B1803" s="759"/>
      <c r="D1803" s="251"/>
      <c r="E1803" s="251"/>
      <c r="F1803" s="252"/>
      <c r="H1803" s="254"/>
      <c r="I1803" s="760"/>
    </row>
    <row r="1804">
      <c r="A1804" s="356"/>
      <c r="B1804" s="759"/>
      <c r="D1804" s="251"/>
      <c r="E1804" s="251"/>
      <c r="F1804" s="252"/>
      <c r="H1804" s="254"/>
      <c r="I1804" s="760"/>
    </row>
    <row r="1805">
      <c r="A1805" s="356"/>
      <c r="B1805" s="759"/>
      <c r="D1805" s="251"/>
      <c r="E1805" s="251"/>
      <c r="F1805" s="252"/>
      <c r="H1805" s="254"/>
      <c r="I1805" s="760"/>
    </row>
    <row r="1806">
      <c r="A1806" s="356"/>
      <c r="B1806" s="759"/>
      <c r="D1806" s="251"/>
      <c r="E1806" s="251"/>
      <c r="F1806" s="252"/>
      <c r="H1806" s="254"/>
      <c r="I1806" s="760"/>
    </row>
    <row r="1807">
      <c r="A1807" s="356"/>
      <c r="B1807" s="759"/>
      <c r="D1807" s="251"/>
      <c r="E1807" s="251"/>
      <c r="F1807" s="252"/>
      <c r="H1807" s="254"/>
      <c r="I1807" s="760"/>
    </row>
    <row r="1808">
      <c r="A1808" s="356"/>
      <c r="B1808" s="759"/>
      <c r="D1808" s="251"/>
      <c r="E1808" s="251"/>
      <c r="F1808" s="252"/>
      <c r="H1808" s="254"/>
      <c r="I1808" s="760"/>
    </row>
    <row r="1809">
      <c r="A1809" s="356"/>
      <c r="B1809" s="759"/>
      <c r="D1809" s="251"/>
      <c r="E1809" s="251"/>
      <c r="F1809" s="252"/>
      <c r="H1809" s="254"/>
      <c r="I1809" s="760"/>
    </row>
    <row r="1810">
      <c r="A1810" s="356"/>
      <c r="B1810" s="759"/>
      <c r="D1810" s="251"/>
      <c r="E1810" s="251"/>
      <c r="F1810" s="252"/>
      <c r="H1810" s="254"/>
      <c r="I1810" s="760"/>
    </row>
    <row r="1811">
      <c r="A1811" s="356"/>
      <c r="B1811" s="759"/>
      <c r="D1811" s="251"/>
      <c r="E1811" s="251"/>
      <c r="F1811" s="252"/>
      <c r="H1811" s="254"/>
      <c r="I1811" s="760"/>
    </row>
    <row r="1812">
      <c r="A1812" s="356"/>
      <c r="B1812" s="759"/>
      <c r="D1812" s="251"/>
      <c r="E1812" s="251"/>
      <c r="F1812" s="252"/>
      <c r="H1812" s="254"/>
      <c r="I1812" s="760"/>
    </row>
    <row r="1813">
      <c r="A1813" s="356"/>
      <c r="B1813" s="759"/>
      <c r="D1813" s="251"/>
      <c r="E1813" s="251"/>
      <c r="F1813" s="252"/>
      <c r="H1813" s="254"/>
      <c r="I1813" s="760"/>
    </row>
    <row r="1814">
      <c r="A1814" s="356"/>
      <c r="B1814" s="759"/>
      <c r="D1814" s="251"/>
      <c r="E1814" s="251"/>
      <c r="F1814" s="252"/>
      <c r="H1814" s="254"/>
      <c r="I1814" s="760"/>
    </row>
    <row r="1815">
      <c r="A1815" s="356"/>
      <c r="B1815" s="759"/>
      <c r="D1815" s="251"/>
      <c r="E1815" s="251"/>
      <c r="F1815" s="252"/>
      <c r="H1815" s="254"/>
      <c r="I1815" s="760"/>
    </row>
    <row r="1816">
      <c r="A1816" s="356"/>
      <c r="B1816" s="759"/>
      <c r="D1816" s="251"/>
      <c r="E1816" s="251"/>
      <c r="F1816" s="252"/>
      <c r="H1816" s="254"/>
      <c r="I1816" s="760"/>
    </row>
    <row r="1817">
      <c r="A1817" s="356"/>
      <c r="B1817" s="759"/>
      <c r="D1817" s="251"/>
      <c r="E1817" s="251"/>
      <c r="F1817" s="252"/>
      <c r="H1817" s="254"/>
      <c r="I1817" s="760"/>
    </row>
    <row r="1818">
      <c r="A1818" s="356"/>
      <c r="B1818" s="759"/>
      <c r="D1818" s="251"/>
      <c r="E1818" s="251"/>
      <c r="F1818" s="252"/>
      <c r="H1818" s="254"/>
      <c r="I1818" s="760"/>
    </row>
    <row r="1819">
      <c r="A1819" s="356"/>
      <c r="B1819" s="759"/>
      <c r="D1819" s="251"/>
      <c r="E1819" s="251"/>
      <c r="F1819" s="252"/>
      <c r="H1819" s="254"/>
      <c r="I1819" s="760"/>
    </row>
    <row r="1820">
      <c r="A1820" s="356"/>
      <c r="B1820" s="759"/>
      <c r="D1820" s="251"/>
      <c r="E1820" s="251"/>
      <c r="F1820" s="252"/>
      <c r="H1820" s="254"/>
      <c r="I1820" s="760"/>
    </row>
    <row r="1821">
      <c r="A1821" s="356"/>
      <c r="B1821" s="759"/>
      <c r="D1821" s="251"/>
      <c r="E1821" s="251"/>
      <c r="F1821" s="252"/>
      <c r="H1821" s="254"/>
      <c r="I1821" s="760"/>
    </row>
    <row r="1822">
      <c r="A1822" s="356"/>
      <c r="B1822" s="759"/>
      <c r="D1822" s="251"/>
      <c r="E1822" s="251"/>
      <c r="F1822" s="252"/>
      <c r="H1822" s="254"/>
      <c r="I1822" s="760"/>
    </row>
    <row r="1823">
      <c r="A1823" s="356"/>
      <c r="B1823" s="759"/>
      <c r="D1823" s="251"/>
      <c r="E1823" s="251"/>
      <c r="F1823" s="252"/>
      <c r="H1823" s="254"/>
      <c r="I1823" s="760"/>
    </row>
    <row r="1824">
      <c r="A1824" s="356"/>
      <c r="B1824" s="759"/>
      <c r="D1824" s="251"/>
      <c r="E1824" s="251"/>
      <c r="F1824" s="252"/>
      <c r="H1824" s="254"/>
      <c r="I1824" s="760"/>
    </row>
    <row r="1825">
      <c r="A1825" s="356"/>
      <c r="B1825" s="759"/>
      <c r="D1825" s="251"/>
      <c r="E1825" s="251"/>
      <c r="F1825" s="252"/>
      <c r="H1825" s="254"/>
      <c r="I1825" s="760"/>
    </row>
    <row r="1826">
      <c r="A1826" s="356"/>
      <c r="B1826" s="759"/>
      <c r="D1826" s="251"/>
      <c r="E1826" s="251"/>
      <c r="F1826" s="252"/>
      <c r="H1826" s="254"/>
      <c r="I1826" s="760"/>
    </row>
    <row r="1827">
      <c r="A1827" s="356"/>
      <c r="B1827" s="759"/>
      <c r="D1827" s="251"/>
      <c r="E1827" s="251"/>
      <c r="F1827" s="252"/>
      <c r="H1827" s="254"/>
      <c r="I1827" s="760"/>
    </row>
    <row r="1828">
      <c r="A1828" s="356"/>
      <c r="B1828" s="759"/>
      <c r="D1828" s="251"/>
      <c r="E1828" s="251"/>
      <c r="F1828" s="252"/>
      <c r="H1828" s="254"/>
      <c r="I1828" s="760"/>
    </row>
    <row r="1829">
      <c r="A1829" s="356"/>
      <c r="B1829" s="759"/>
      <c r="D1829" s="251"/>
      <c r="E1829" s="251"/>
      <c r="F1829" s="252"/>
      <c r="H1829" s="254"/>
      <c r="I1829" s="760"/>
    </row>
    <row r="1830">
      <c r="A1830" s="356"/>
      <c r="B1830" s="759"/>
      <c r="D1830" s="251"/>
      <c r="E1830" s="251"/>
      <c r="F1830" s="252"/>
      <c r="H1830" s="254"/>
      <c r="I1830" s="760"/>
    </row>
    <row r="1831">
      <c r="A1831" s="356"/>
      <c r="B1831" s="759"/>
      <c r="D1831" s="251"/>
      <c r="E1831" s="251"/>
      <c r="F1831" s="252"/>
      <c r="H1831" s="254"/>
      <c r="I1831" s="760"/>
    </row>
    <row r="1832">
      <c r="A1832" s="356"/>
      <c r="B1832" s="759"/>
      <c r="D1832" s="251"/>
      <c r="E1832" s="251"/>
      <c r="F1832" s="252"/>
      <c r="H1832" s="254"/>
      <c r="I1832" s="760"/>
    </row>
    <row r="1833">
      <c r="A1833" s="356"/>
      <c r="B1833" s="759"/>
      <c r="D1833" s="251"/>
      <c r="E1833" s="251"/>
      <c r="F1833" s="252"/>
      <c r="H1833" s="254"/>
      <c r="I1833" s="760"/>
    </row>
    <row r="1834">
      <c r="A1834" s="356"/>
      <c r="B1834" s="759"/>
      <c r="D1834" s="251"/>
      <c r="E1834" s="251"/>
      <c r="F1834" s="252"/>
      <c r="H1834" s="254"/>
      <c r="I1834" s="760"/>
    </row>
    <row r="1835">
      <c r="A1835" s="356"/>
      <c r="B1835" s="759"/>
      <c r="D1835" s="251"/>
      <c r="E1835" s="251"/>
      <c r="F1835" s="252"/>
      <c r="H1835" s="254"/>
      <c r="I1835" s="760"/>
    </row>
    <row r="1836">
      <c r="A1836" s="356"/>
      <c r="B1836" s="759"/>
      <c r="D1836" s="251"/>
      <c r="E1836" s="251"/>
      <c r="F1836" s="252"/>
      <c r="H1836" s="254"/>
      <c r="I1836" s="760"/>
    </row>
    <row r="1837">
      <c r="A1837" s="356"/>
      <c r="B1837" s="759"/>
      <c r="D1837" s="251"/>
      <c r="E1837" s="251"/>
      <c r="F1837" s="252"/>
      <c r="H1837" s="254"/>
      <c r="I1837" s="760"/>
    </row>
    <row r="1838">
      <c r="A1838" s="356"/>
      <c r="B1838" s="759"/>
      <c r="D1838" s="251"/>
      <c r="E1838" s="251"/>
      <c r="F1838" s="252"/>
      <c r="H1838" s="254"/>
      <c r="I1838" s="760"/>
    </row>
    <row r="1839">
      <c r="A1839" s="356"/>
      <c r="B1839" s="759"/>
      <c r="D1839" s="251"/>
      <c r="E1839" s="251"/>
      <c r="F1839" s="252"/>
      <c r="H1839" s="254"/>
      <c r="I1839" s="760"/>
    </row>
    <row r="1840">
      <c r="A1840" s="356"/>
      <c r="B1840" s="759"/>
      <c r="D1840" s="251"/>
      <c r="E1840" s="251"/>
      <c r="F1840" s="252"/>
      <c r="H1840" s="254"/>
      <c r="I1840" s="760"/>
    </row>
    <row r="1841">
      <c r="A1841" s="356"/>
      <c r="B1841" s="759"/>
      <c r="D1841" s="251"/>
      <c r="E1841" s="251"/>
      <c r="F1841" s="252"/>
      <c r="H1841" s="254"/>
      <c r="I1841" s="760"/>
    </row>
    <row r="1842">
      <c r="A1842" s="356"/>
      <c r="B1842" s="759"/>
      <c r="D1842" s="251"/>
      <c r="E1842" s="251"/>
      <c r="F1842" s="252"/>
      <c r="H1842" s="254"/>
      <c r="I1842" s="760"/>
    </row>
    <row r="1843">
      <c r="A1843" s="356"/>
      <c r="B1843" s="759"/>
      <c r="D1843" s="251"/>
      <c r="E1843" s="251"/>
      <c r="F1843" s="252"/>
      <c r="H1843" s="254"/>
      <c r="I1843" s="760"/>
    </row>
    <row r="1844">
      <c r="A1844" s="356"/>
      <c r="B1844" s="759"/>
      <c r="D1844" s="251"/>
      <c r="E1844" s="251"/>
      <c r="F1844" s="252"/>
      <c r="H1844" s="254"/>
      <c r="I1844" s="760"/>
    </row>
    <row r="1845">
      <c r="A1845" s="356"/>
      <c r="B1845" s="759"/>
      <c r="D1845" s="251"/>
      <c r="E1845" s="251"/>
      <c r="F1845" s="252"/>
      <c r="H1845" s="254"/>
      <c r="I1845" s="760"/>
    </row>
    <row r="1846">
      <c r="A1846" s="356"/>
      <c r="B1846" s="759"/>
      <c r="D1846" s="251"/>
      <c r="E1846" s="251"/>
      <c r="F1846" s="252"/>
      <c r="H1846" s="254"/>
      <c r="I1846" s="760"/>
    </row>
    <row r="1847">
      <c r="A1847" s="356"/>
      <c r="B1847" s="759"/>
      <c r="D1847" s="251"/>
      <c r="E1847" s="251"/>
      <c r="F1847" s="252"/>
      <c r="H1847" s="254"/>
      <c r="I1847" s="760"/>
    </row>
    <row r="1848">
      <c r="A1848" s="356"/>
      <c r="B1848" s="759"/>
      <c r="D1848" s="251"/>
      <c r="E1848" s="251"/>
      <c r="F1848" s="252"/>
      <c r="H1848" s="254"/>
      <c r="I1848" s="760"/>
    </row>
    <row r="1849">
      <c r="A1849" s="356"/>
      <c r="B1849" s="759"/>
      <c r="D1849" s="251"/>
      <c r="E1849" s="251"/>
      <c r="F1849" s="252"/>
      <c r="H1849" s="254"/>
      <c r="I1849" s="760"/>
    </row>
    <row r="1850">
      <c r="A1850" s="356"/>
      <c r="B1850" s="759"/>
      <c r="D1850" s="251"/>
      <c r="E1850" s="251"/>
      <c r="F1850" s="252"/>
      <c r="H1850" s="254"/>
      <c r="I1850" s="760"/>
    </row>
    <row r="1851">
      <c r="A1851" s="356"/>
      <c r="B1851" s="759"/>
      <c r="D1851" s="251"/>
      <c r="E1851" s="251"/>
      <c r="F1851" s="252"/>
      <c r="H1851" s="254"/>
      <c r="I1851" s="760"/>
    </row>
    <row r="1852">
      <c r="A1852" s="356"/>
      <c r="B1852" s="759"/>
      <c r="D1852" s="251"/>
      <c r="E1852" s="251"/>
      <c r="F1852" s="252"/>
      <c r="H1852" s="254"/>
      <c r="I1852" s="760"/>
    </row>
    <row r="1853">
      <c r="A1853" s="356"/>
      <c r="B1853" s="759"/>
      <c r="D1853" s="251"/>
      <c r="E1853" s="251"/>
      <c r="F1853" s="252"/>
      <c r="H1853" s="254"/>
      <c r="I1853" s="760"/>
    </row>
    <row r="1854">
      <c r="A1854" s="356"/>
      <c r="B1854" s="759"/>
      <c r="D1854" s="251"/>
      <c r="E1854" s="251"/>
      <c r="F1854" s="252"/>
      <c r="H1854" s="254"/>
      <c r="I1854" s="760"/>
    </row>
    <row r="1855">
      <c r="A1855" s="356"/>
      <c r="B1855" s="759"/>
      <c r="D1855" s="251"/>
      <c r="E1855" s="251"/>
      <c r="F1855" s="252"/>
      <c r="H1855" s="254"/>
      <c r="I1855" s="760"/>
    </row>
    <row r="1856">
      <c r="A1856" s="356"/>
      <c r="B1856" s="759"/>
      <c r="D1856" s="251"/>
      <c r="E1856" s="251"/>
      <c r="F1856" s="252"/>
      <c r="H1856" s="254"/>
      <c r="I1856" s="760"/>
    </row>
    <row r="1857">
      <c r="A1857" s="356"/>
      <c r="B1857" s="759"/>
      <c r="D1857" s="251"/>
      <c r="E1857" s="251"/>
      <c r="F1857" s="252"/>
      <c r="H1857" s="254"/>
      <c r="I1857" s="760"/>
    </row>
    <row r="1858">
      <c r="A1858" s="356"/>
      <c r="B1858" s="759"/>
      <c r="D1858" s="251"/>
      <c r="E1858" s="251"/>
      <c r="F1858" s="252"/>
      <c r="H1858" s="254"/>
      <c r="I1858" s="760"/>
    </row>
    <row r="1859">
      <c r="A1859" s="356"/>
      <c r="B1859" s="759"/>
      <c r="D1859" s="251"/>
      <c r="E1859" s="251"/>
      <c r="F1859" s="252"/>
      <c r="H1859" s="254"/>
      <c r="I1859" s="760"/>
    </row>
    <row r="1860">
      <c r="A1860" s="356"/>
      <c r="B1860" s="759"/>
      <c r="D1860" s="251"/>
      <c r="E1860" s="251"/>
      <c r="F1860" s="252"/>
      <c r="H1860" s="254"/>
      <c r="I1860" s="760"/>
    </row>
    <row r="1861">
      <c r="A1861" s="356"/>
      <c r="B1861" s="759"/>
      <c r="D1861" s="251"/>
      <c r="E1861" s="251"/>
      <c r="F1861" s="252"/>
      <c r="H1861" s="254"/>
      <c r="I1861" s="760"/>
    </row>
    <row r="1862">
      <c r="A1862" s="356"/>
      <c r="B1862" s="759"/>
      <c r="D1862" s="251"/>
      <c r="E1862" s="251"/>
      <c r="F1862" s="252"/>
      <c r="H1862" s="254"/>
      <c r="I1862" s="760"/>
    </row>
    <row r="1863">
      <c r="A1863" s="356"/>
      <c r="B1863" s="759"/>
      <c r="D1863" s="251"/>
      <c r="E1863" s="251"/>
      <c r="F1863" s="252"/>
      <c r="H1863" s="254"/>
      <c r="I1863" s="760"/>
    </row>
    <row r="1864">
      <c r="A1864" s="356"/>
      <c r="B1864" s="759"/>
      <c r="D1864" s="251"/>
      <c r="E1864" s="251"/>
      <c r="F1864" s="252"/>
      <c r="H1864" s="254"/>
      <c r="I1864" s="760"/>
    </row>
    <row r="1865">
      <c r="A1865" s="356"/>
      <c r="B1865" s="759"/>
      <c r="D1865" s="251"/>
      <c r="E1865" s="251"/>
      <c r="F1865" s="252"/>
      <c r="H1865" s="254"/>
      <c r="I1865" s="760"/>
    </row>
    <row r="1866">
      <c r="A1866" s="356"/>
      <c r="B1866" s="759"/>
      <c r="D1866" s="251"/>
      <c r="E1866" s="251"/>
      <c r="F1866" s="252"/>
      <c r="H1866" s="254"/>
      <c r="I1866" s="760"/>
    </row>
    <row r="1867">
      <c r="A1867" s="356"/>
      <c r="B1867" s="759"/>
      <c r="D1867" s="251"/>
      <c r="E1867" s="251"/>
      <c r="F1867" s="252"/>
      <c r="H1867" s="254"/>
      <c r="I1867" s="760"/>
    </row>
    <row r="1868">
      <c r="A1868" s="356"/>
      <c r="B1868" s="759"/>
      <c r="D1868" s="251"/>
      <c r="E1868" s="251"/>
      <c r="F1868" s="252"/>
      <c r="H1868" s="254"/>
      <c r="I1868" s="760"/>
    </row>
    <row r="1869">
      <c r="A1869" s="356"/>
      <c r="B1869" s="759"/>
      <c r="D1869" s="251"/>
      <c r="E1869" s="251"/>
      <c r="F1869" s="252"/>
      <c r="H1869" s="254"/>
      <c r="I1869" s="760"/>
    </row>
    <row r="1870">
      <c r="A1870" s="356"/>
      <c r="B1870" s="759"/>
      <c r="D1870" s="251"/>
      <c r="E1870" s="251"/>
      <c r="F1870" s="252"/>
      <c r="H1870" s="254"/>
      <c r="I1870" s="760"/>
    </row>
    <row r="1871">
      <c r="A1871" s="356"/>
      <c r="B1871" s="759"/>
      <c r="D1871" s="251"/>
      <c r="E1871" s="251"/>
      <c r="F1871" s="252"/>
      <c r="H1871" s="254"/>
      <c r="I1871" s="760"/>
    </row>
    <row r="1872">
      <c r="A1872" s="356"/>
      <c r="B1872" s="759"/>
      <c r="D1872" s="251"/>
      <c r="E1872" s="251"/>
      <c r="F1872" s="252"/>
      <c r="H1872" s="254"/>
      <c r="I1872" s="760"/>
    </row>
    <row r="1873">
      <c r="A1873" s="356"/>
      <c r="B1873" s="759"/>
      <c r="D1873" s="251"/>
      <c r="E1873" s="251"/>
      <c r="F1873" s="252"/>
      <c r="H1873" s="254"/>
      <c r="I1873" s="760"/>
    </row>
    <row r="1874">
      <c r="A1874" s="356"/>
      <c r="B1874" s="759"/>
      <c r="D1874" s="251"/>
      <c r="E1874" s="251"/>
      <c r="F1874" s="252"/>
      <c r="H1874" s="254"/>
      <c r="I1874" s="760"/>
    </row>
    <row r="1875">
      <c r="A1875" s="356"/>
      <c r="B1875" s="759"/>
      <c r="D1875" s="251"/>
      <c r="E1875" s="251"/>
      <c r="F1875" s="252"/>
      <c r="H1875" s="254"/>
      <c r="I1875" s="760"/>
    </row>
    <row r="1876">
      <c r="A1876" s="356"/>
      <c r="B1876" s="759"/>
      <c r="D1876" s="251"/>
      <c r="E1876" s="251"/>
      <c r="F1876" s="252"/>
      <c r="H1876" s="254"/>
      <c r="I1876" s="760"/>
    </row>
    <row r="1877">
      <c r="A1877" s="356"/>
      <c r="B1877" s="759"/>
      <c r="D1877" s="251"/>
      <c r="E1877" s="251"/>
      <c r="F1877" s="252"/>
      <c r="H1877" s="254"/>
      <c r="I1877" s="760"/>
    </row>
    <row r="1878">
      <c r="A1878" s="356"/>
      <c r="B1878" s="759"/>
      <c r="D1878" s="251"/>
      <c r="E1878" s="251"/>
      <c r="F1878" s="252"/>
      <c r="H1878" s="254"/>
      <c r="I1878" s="760"/>
    </row>
    <row r="1879">
      <c r="A1879" s="356"/>
      <c r="B1879" s="759"/>
      <c r="D1879" s="251"/>
      <c r="E1879" s="251"/>
      <c r="F1879" s="252"/>
      <c r="H1879" s="254"/>
      <c r="I1879" s="760"/>
    </row>
    <row r="1880">
      <c r="A1880" s="356"/>
      <c r="B1880" s="759"/>
      <c r="D1880" s="251"/>
      <c r="E1880" s="251"/>
      <c r="F1880" s="252"/>
      <c r="H1880" s="254"/>
      <c r="I1880" s="760"/>
    </row>
    <row r="1881">
      <c r="A1881" s="356"/>
      <c r="B1881" s="759"/>
      <c r="D1881" s="251"/>
      <c r="E1881" s="251"/>
      <c r="F1881" s="252"/>
      <c r="H1881" s="254"/>
      <c r="I1881" s="760"/>
    </row>
    <row r="1882">
      <c r="A1882" s="356"/>
      <c r="B1882" s="759"/>
      <c r="D1882" s="251"/>
      <c r="E1882" s="251"/>
      <c r="F1882" s="252"/>
      <c r="H1882" s="254"/>
      <c r="I1882" s="760"/>
    </row>
    <row r="1883">
      <c r="A1883" s="356"/>
      <c r="B1883" s="759"/>
      <c r="D1883" s="251"/>
      <c r="E1883" s="251"/>
      <c r="F1883" s="252"/>
      <c r="H1883" s="254"/>
      <c r="I1883" s="760"/>
    </row>
    <row r="1884">
      <c r="A1884" s="356"/>
      <c r="B1884" s="759"/>
      <c r="D1884" s="251"/>
      <c r="E1884" s="251"/>
      <c r="F1884" s="252"/>
      <c r="H1884" s="254"/>
      <c r="I1884" s="760"/>
    </row>
    <row r="1885">
      <c r="A1885" s="356"/>
      <c r="B1885" s="759"/>
      <c r="D1885" s="251"/>
      <c r="E1885" s="251"/>
      <c r="F1885" s="252"/>
      <c r="H1885" s="254"/>
      <c r="I1885" s="760"/>
    </row>
    <row r="1886">
      <c r="A1886" s="356"/>
      <c r="B1886" s="759"/>
      <c r="D1886" s="251"/>
      <c r="E1886" s="251"/>
      <c r="F1886" s="252"/>
      <c r="H1886" s="254"/>
      <c r="I1886" s="760"/>
    </row>
    <row r="1887">
      <c r="A1887" s="356"/>
      <c r="B1887" s="759"/>
      <c r="D1887" s="251"/>
      <c r="E1887" s="251"/>
      <c r="F1887" s="252"/>
      <c r="H1887" s="254"/>
      <c r="I1887" s="760"/>
    </row>
    <row r="1888">
      <c r="A1888" s="356"/>
      <c r="B1888" s="759"/>
      <c r="D1888" s="251"/>
      <c r="E1888" s="251"/>
      <c r="F1888" s="252"/>
      <c r="H1888" s="254"/>
      <c r="I1888" s="760"/>
    </row>
    <row r="1889">
      <c r="A1889" s="356"/>
      <c r="B1889" s="759"/>
      <c r="D1889" s="251"/>
      <c r="E1889" s="251"/>
      <c r="F1889" s="252"/>
      <c r="H1889" s="254"/>
      <c r="I1889" s="760"/>
    </row>
    <row r="1890">
      <c r="A1890" s="356"/>
      <c r="B1890" s="759"/>
      <c r="D1890" s="251"/>
      <c r="E1890" s="251"/>
      <c r="F1890" s="252"/>
      <c r="H1890" s="254"/>
      <c r="I1890" s="760"/>
    </row>
    <row r="1891">
      <c r="A1891" s="356"/>
      <c r="B1891" s="759"/>
      <c r="D1891" s="251"/>
      <c r="E1891" s="251"/>
      <c r="F1891" s="252"/>
      <c r="H1891" s="254"/>
      <c r="I1891" s="760"/>
    </row>
    <row r="1892">
      <c r="A1892" s="356"/>
      <c r="B1892" s="759"/>
      <c r="D1892" s="251"/>
      <c r="E1892" s="251"/>
      <c r="F1892" s="252"/>
      <c r="H1892" s="254"/>
      <c r="I1892" s="760"/>
    </row>
    <row r="1893">
      <c r="A1893" s="356"/>
      <c r="B1893" s="759"/>
      <c r="D1893" s="251"/>
      <c r="E1893" s="251"/>
      <c r="F1893" s="252"/>
      <c r="H1893" s="254"/>
      <c r="I1893" s="760"/>
    </row>
    <row r="1894">
      <c r="A1894" s="356"/>
      <c r="B1894" s="759"/>
      <c r="D1894" s="251"/>
      <c r="E1894" s="251"/>
      <c r="F1894" s="252"/>
      <c r="H1894" s="254"/>
      <c r="I1894" s="760"/>
    </row>
    <row r="1895">
      <c r="A1895" s="356"/>
      <c r="B1895" s="759"/>
      <c r="D1895" s="251"/>
      <c r="E1895" s="251"/>
      <c r="F1895" s="252"/>
      <c r="H1895" s="254"/>
      <c r="I1895" s="760"/>
    </row>
    <row r="1896">
      <c r="A1896" s="356"/>
      <c r="B1896" s="759"/>
      <c r="D1896" s="251"/>
      <c r="E1896" s="251"/>
      <c r="F1896" s="252"/>
      <c r="H1896" s="254"/>
      <c r="I1896" s="760"/>
    </row>
    <row r="1897">
      <c r="A1897" s="356"/>
      <c r="B1897" s="759"/>
      <c r="D1897" s="251"/>
      <c r="E1897" s="251"/>
      <c r="F1897" s="252"/>
      <c r="H1897" s="254"/>
      <c r="I1897" s="760"/>
    </row>
    <row r="1898">
      <c r="A1898" s="356"/>
      <c r="B1898" s="759"/>
      <c r="D1898" s="251"/>
      <c r="E1898" s="251"/>
      <c r="F1898" s="252"/>
      <c r="H1898" s="254"/>
      <c r="I1898" s="760"/>
    </row>
    <row r="1899">
      <c r="A1899" s="356"/>
      <c r="B1899" s="759"/>
      <c r="D1899" s="251"/>
      <c r="E1899" s="251"/>
      <c r="F1899" s="252"/>
      <c r="H1899" s="254"/>
      <c r="I1899" s="760"/>
    </row>
    <row r="1900">
      <c r="A1900" s="356"/>
      <c r="B1900" s="759"/>
      <c r="D1900" s="251"/>
      <c r="E1900" s="251"/>
      <c r="F1900" s="252"/>
      <c r="H1900" s="254"/>
      <c r="I1900" s="760"/>
    </row>
    <row r="1901">
      <c r="A1901" s="356"/>
      <c r="B1901" s="759"/>
      <c r="D1901" s="251"/>
      <c r="E1901" s="251"/>
      <c r="F1901" s="252"/>
      <c r="H1901" s="254"/>
      <c r="I1901" s="760"/>
    </row>
    <row r="1902">
      <c r="A1902" s="356"/>
      <c r="B1902" s="759"/>
      <c r="D1902" s="251"/>
      <c r="E1902" s="251"/>
      <c r="F1902" s="252"/>
      <c r="H1902" s="254"/>
      <c r="I1902" s="760"/>
    </row>
    <row r="1903">
      <c r="A1903" s="356"/>
      <c r="B1903" s="759"/>
      <c r="D1903" s="251"/>
      <c r="E1903" s="251"/>
      <c r="F1903" s="252"/>
      <c r="H1903" s="254"/>
      <c r="I1903" s="760"/>
    </row>
    <row r="1904">
      <c r="A1904" s="356"/>
      <c r="B1904" s="759"/>
      <c r="D1904" s="251"/>
      <c r="E1904" s="251"/>
      <c r="F1904" s="252"/>
      <c r="H1904" s="254"/>
      <c r="I1904" s="760"/>
    </row>
    <row r="1905">
      <c r="A1905" s="356"/>
      <c r="B1905" s="759"/>
      <c r="D1905" s="251"/>
      <c r="E1905" s="251"/>
      <c r="F1905" s="252"/>
      <c r="H1905" s="254"/>
      <c r="I1905" s="760"/>
    </row>
    <row r="1906">
      <c r="A1906" s="356"/>
      <c r="B1906" s="759"/>
      <c r="D1906" s="251"/>
      <c r="E1906" s="251"/>
      <c r="F1906" s="252"/>
      <c r="H1906" s="254"/>
      <c r="I1906" s="760"/>
    </row>
    <row r="1907">
      <c r="A1907" s="356"/>
      <c r="B1907" s="759"/>
      <c r="D1907" s="251"/>
      <c r="E1907" s="251"/>
      <c r="F1907" s="252"/>
      <c r="H1907" s="254"/>
      <c r="I1907" s="760"/>
    </row>
    <row r="1908">
      <c r="A1908" s="356"/>
      <c r="B1908" s="759"/>
      <c r="D1908" s="251"/>
      <c r="E1908" s="251"/>
      <c r="F1908" s="252"/>
      <c r="H1908" s="254"/>
      <c r="I1908" s="760"/>
    </row>
    <row r="1909">
      <c r="A1909" s="356"/>
      <c r="B1909" s="759"/>
      <c r="D1909" s="251"/>
      <c r="E1909" s="251"/>
      <c r="F1909" s="252"/>
      <c r="H1909" s="254"/>
      <c r="I1909" s="760"/>
    </row>
    <row r="1910">
      <c r="A1910" s="356"/>
      <c r="B1910" s="759"/>
      <c r="D1910" s="251"/>
      <c r="E1910" s="251"/>
      <c r="F1910" s="252"/>
      <c r="H1910" s="254"/>
      <c r="I1910" s="760"/>
    </row>
    <row r="1911">
      <c r="A1911" s="356"/>
      <c r="B1911" s="759"/>
      <c r="D1911" s="251"/>
      <c r="E1911" s="251"/>
      <c r="F1911" s="252"/>
      <c r="H1911" s="254"/>
      <c r="I1911" s="760"/>
    </row>
    <row r="1912">
      <c r="A1912" s="356"/>
      <c r="B1912" s="759"/>
      <c r="D1912" s="251"/>
      <c r="E1912" s="251"/>
      <c r="F1912" s="252"/>
      <c r="H1912" s="254"/>
      <c r="I1912" s="760"/>
    </row>
    <row r="1913">
      <c r="A1913" s="356"/>
      <c r="B1913" s="759"/>
      <c r="D1913" s="251"/>
      <c r="E1913" s="251"/>
      <c r="F1913" s="252"/>
      <c r="H1913" s="254"/>
      <c r="I1913" s="760"/>
    </row>
    <row r="1914">
      <c r="A1914" s="356"/>
      <c r="B1914" s="759"/>
      <c r="D1914" s="251"/>
      <c r="E1914" s="251"/>
      <c r="F1914" s="252"/>
      <c r="H1914" s="254"/>
      <c r="I1914" s="760"/>
    </row>
    <row r="1915">
      <c r="A1915" s="356"/>
      <c r="B1915" s="759"/>
      <c r="D1915" s="251"/>
      <c r="E1915" s="251"/>
      <c r="F1915" s="252"/>
      <c r="H1915" s="254"/>
      <c r="I1915" s="760"/>
    </row>
    <row r="1916">
      <c r="A1916" s="356"/>
      <c r="B1916" s="759"/>
      <c r="D1916" s="251"/>
      <c r="E1916" s="251"/>
      <c r="F1916" s="252"/>
      <c r="H1916" s="254"/>
      <c r="I1916" s="760"/>
    </row>
    <row r="1917">
      <c r="A1917" s="356"/>
      <c r="B1917" s="759"/>
      <c r="D1917" s="251"/>
      <c r="E1917" s="251"/>
      <c r="F1917" s="252"/>
      <c r="H1917" s="254"/>
      <c r="I1917" s="760"/>
    </row>
    <row r="1918">
      <c r="A1918" s="356"/>
      <c r="B1918" s="759"/>
      <c r="D1918" s="251"/>
      <c r="E1918" s="251"/>
      <c r="F1918" s="252"/>
      <c r="H1918" s="254"/>
      <c r="I1918" s="760"/>
    </row>
    <row r="1919">
      <c r="A1919" s="356"/>
      <c r="B1919" s="759"/>
      <c r="D1919" s="251"/>
      <c r="E1919" s="251"/>
      <c r="F1919" s="252"/>
      <c r="H1919" s="254"/>
      <c r="I1919" s="760"/>
    </row>
    <row r="1920">
      <c r="A1920" s="356"/>
      <c r="B1920" s="759"/>
      <c r="D1920" s="251"/>
      <c r="E1920" s="251"/>
      <c r="F1920" s="252"/>
      <c r="H1920" s="254"/>
      <c r="I1920" s="760"/>
    </row>
    <row r="1921">
      <c r="A1921" s="356"/>
      <c r="B1921" s="759"/>
      <c r="D1921" s="251"/>
      <c r="E1921" s="251"/>
      <c r="F1921" s="252"/>
      <c r="H1921" s="254"/>
      <c r="I1921" s="760"/>
    </row>
    <row r="1922">
      <c r="A1922" s="356"/>
      <c r="B1922" s="759"/>
      <c r="D1922" s="251"/>
      <c r="E1922" s="251"/>
      <c r="F1922" s="252"/>
      <c r="H1922" s="254"/>
      <c r="I1922" s="760"/>
    </row>
    <row r="1923">
      <c r="A1923" s="356"/>
      <c r="B1923" s="759"/>
      <c r="D1923" s="251"/>
      <c r="E1923" s="251"/>
      <c r="F1923" s="252"/>
      <c r="H1923" s="254"/>
      <c r="I1923" s="760"/>
    </row>
    <row r="1924">
      <c r="A1924" s="356"/>
      <c r="B1924" s="759"/>
      <c r="D1924" s="251"/>
      <c r="E1924" s="251"/>
      <c r="F1924" s="252"/>
      <c r="H1924" s="254"/>
      <c r="I1924" s="760"/>
    </row>
    <row r="1925">
      <c r="A1925" s="356"/>
      <c r="B1925" s="759"/>
      <c r="D1925" s="251"/>
      <c r="E1925" s="251"/>
      <c r="F1925" s="252"/>
      <c r="H1925" s="254"/>
      <c r="I1925" s="760"/>
    </row>
    <row r="1926">
      <c r="A1926" s="356"/>
      <c r="B1926" s="759"/>
      <c r="D1926" s="251"/>
      <c r="E1926" s="251"/>
      <c r="F1926" s="252"/>
      <c r="H1926" s="254"/>
      <c r="I1926" s="760"/>
    </row>
    <row r="1927">
      <c r="A1927" s="356"/>
      <c r="B1927" s="759"/>
      <c r="D1927" s="251"/>
      <c r="E1927" s="251"/>
      <c r="F1927" s="252"/>
      <c r="H1927" s="254"/>
      <c r="I1927" s="760"/>
    </row>
    <row r="1928">
      <c r="A1928" s="356"/>
      <c r="B1928" s="759"/>
      <c r="D1928" s="251"/>
      <c r="E1928" s="251"/>
      <c r="F1928" s="252"/>
      <c r="H1928" s="254"/>
      <c r="I1928" s="760"/>
    </row>
    <row r="1929">
      <c r="A1929" s="356"/>
      <c r="B1929" s="759"/>
      <c r="D1929" s="251"/>
      <c r="E1929" s="251"/>
      <c r="F1929" s="252"/>
      <c r="H1929" s="254"/>
      <c r="I1929" s="760"/>
    </row>
    <row r="1930">
      <c r="A1930" s="356"/>
      <c r="B1930" s="759"/>
      <c r="D1930" s="251"/>
      <c r="E1930" s="251"/>
      <c r="F1930" s="252"/>
      <c r="H1930" s="254"/>
      <c r="I1930" s="760"/>
    </row>
    <row r="1931">
      <c r="A1931" s="356"/>
      <c r="B1931" s="759"/>
      <c r="D1931" s="251"/>
      <c r="E1931" s="251"/>
      <c r="F1931" s="252"/>
      <c r="H1931" s="254"/>
      <c r="I1931" s="760"/>
    </row>
    <row r="1932">
      <c r="A1932" s="356"/>
      <c r="B1932" s="759"/>
      <c r="D1932" s="251"/>
      <c r="E1932" s="251"/>
      <c r="F1932" s="252"/>
      <c r="H1932" s="254"/>
      <c r="I1932" s="760"/>
    </row>
    <row r="1933">
      <c r="A1933" s="356"/>
      <c r="B1933" s="759"/>
      <c r="D1933" s="251"/>
      <c r="E1933" s="251"/>
      <c r="F1933" s="252"/>
      <c r="H1933" s="254"/>
      <c r="I1933" s="760"/>
    </row>
    <row r="1934">
      <c r="A1934" s="356"/>
      <c r="B1934" s="759"/>
      <c r="D1934" s="251"/>
      <c r="E1934" s="251"/>
      <c r="F1934" s="252"/>
      <c r="H1934" s="254"/>
      <c r="I1934" s="760"/>
    </row>
    <row r="1935">
      <c r="A1935" s="356"/>
      <c r="B1935" s="759"/>
      <c r="D1935" s="251"/>
      <c r="E1935" s="251"/>
      <c r="F1935" s="252"/>
      <c r="H1935" s="254"/>
      <c r="I1935" s="760"/>
    </row>
    <row r="1936">
      <c r="A1936" s="356"/>
      <c r="B1936" s="759"/>
      <c r="D1936" s="251"/>
      <c r="E1936" s="251"/>
      <c r="F1936" s="252"/>
      <c r="H1936" s="254"/>
      <c r="I1936" s="760"/>
    </row>
    <row r="1937">
      <c r="A1937" s="356"/>
      <c r="B1937" s="759"/>
      <c r="D1937" s="251"/>
      <c r="E1937" s="251"/>
      <c r="F1937" s="252"/>
      <c r="H1937" s="254"/>
      <c r="I1937" s="760"/>
    </row>
    <row r="1938">
      <c r="A1938" s="356"/>
      <c r="B1938" s="759"/>
      <c r="D1938" s="251"/>
      <c r="E1938" s="251"/>
      <c r="F1938" s="252"/>
      <c r="H1938" s="254"/>
      <c r="I1938" s="760"/>
    </row>
    <row r="1939">
      <c r="A1939" s="356"/>
      <c r="B1939" s="759"/>
      <c r="D1939" s="251"/>
      <c r="E1939" s="251"/>
      <c r="F1939" s="252"/>
      <c r="H1939" s="254"/>
      <c r="I1939" s="760"/>
    </row>
    <row r="1940">
      <c r="A1940" s="356"/>
      <c r="B1940" s="759"/>
      <c r="D1940" s="251"/>
      <c r="E1940" s="251"/>
      <c r="F1940" s="252"/>
      <c r="H1940" s="254"/>
      <c r="I1940" s="760"/>
    </row>
    <row r="1941">
      <c r="A1941" s="356"/>
      <c r="B1941" s="759"/>
      <c r="D1941" s="251"/>
      <c r="E1941" s="251"/>
      <c r="F1941" s="252"/>
      <c r="H1941" s="254"/>
      <c r="I1941" s="760"/>
    </row>
    <row r="1942">
      <c r="A1942" s="356"/>
      <c r="B1942" s="759"/>
      <c r="D1942" s="251"/>
      <c r="E1942" s="251"/>
      <c r="F1942" s="252"/>
      <c r="H1942" s="254"/>
      <c r="I1942" s="760"/>
    </row>
    <row r="1943">
      <c r="A1943" s="356"/>
      <c r="B1943" s="759"/>
      <c r="D1943" s="251"/>
      <c r="E1943" s="251"/>
      <c r="F1943" s="252"/>
      <c r="H1943" s="254"/>
      <c r="I1943" s="760"/>
    </row>
    <row r="1944">
      <c r="A1944" s="356"/>
      <c r="B1944" s="759"/>
      <c r="D1944" s="251"/>
      <c r="E1944" s="251"/>
      <c r="F1944" s="252"/>
      <c r="H1944" s="254"/>
      <c r="I1944" s="760"/>
    </row>
    <row r="1945">
      <c r="A1945" s="356"/>
      <c r="B1945" s="759"/>
      <c r="D1945" s="251"/>
      <c r="E1945" s="251"/>
      <c r="F1945" s="252"/>
      <c r="H1945" s="254"/>
      <c r="I1945" s="760"/>
    </row>
    <row r="1946">
      <c r="A1946" s="356"/>
      <c r="B1946" s="759"/>
      <c r="D1946" s="251"/>
      <c r="E1946" s="251"/>
      <c r="F1946" s="252"/>
      <c r="H1946" s="254"/>
      <c r="I1946" s="760"/>
    </row>
    <row r="1947">
      <c r="A1947" s="356"/>
      <c r="B1947" s="759"/>
      <c r="D1947" s="251"/>
      <c r="E1947" s="251"/>
      <c r="F1947" s="252"/>
      <c r="H1947" s="254"/>
      <c r="I1947" s="760"/>
    </row>
    <row r="1948">
      <c r="A1948" s="356"/>
      <c r="B1948" s="759"/>
      <c r="D1948" s="251"/>
      <c r="E1948" s="251"/>
      <c r="F1948" s="252"/>
      <c r="H1948" s="254"/>
      <c r="I1948" s="760"/>
    </row>
    <row r="1949">
      <c r="A1949" s="356"/>
      <c r="B1949" s="759"/>
      <c r="D1949" s="251"/>
      <c r="E1949" s="251"/>
      <c r="F1949" s="252"/>
      <c r="H1949" s="254"/>
      <c r="I1949" s="760"/>
    </row>
    <row r="1950">
      <c r="A1950" s="356"/>
      <c r="B1950" s="759"/>
      <c r="D1950" s="251"/>
      <c r="E1950" s="251"/>
      <c r="F1950" s="252"/>
      <c r="H1950" s="254"/>
      <c r="I1950" s="760"/>
    </row>
    <row r="1951">
      <c r="A1951" s="356"/>
      <c r="B1951" s="759"/>
      <c r="D1951" s="251"/>
      <c r="E1951" s="251"/>
      <c r="F1951" s="252"/>
      <c r="H1951" s="254"/>
      <c r="I1951" s="760"/>
    </row>
    <row r="1952">
      <c r="A1952" s="356"/>
      <c r="B1952" s="759"/>
      <c r="D1952" s="251"/>
      <c r="E1952" s="251"/>
      <c r="F1952" s="252"/>
      <c r="H1952" s="254"/>
      <c r="I1952" s="760"/>
    </row>
    <row r="1953">
      <c r="A1953" s="356"/>
      <c r="B1953" s="759"/>
      <c r="D1953" s="251"/>
      <c r="E1953" s="251"/>
      <c r="F1953" s="252"/>
      <c r="H1953" s="254"/>
      <c r="I1953" s="760"/>
    </row>
    <row r="1954">
      <c r="A1954" s="356"/>
      <c r="B1954" s="759"/>
      <c r="D1954" s="251"/>
      <c r="E1954" s="251"/>
      <c r="F1954" s="252"/>
      <c r="H1954" s="254"/>
      <c r="I1954" s="760"/>
    </row>
    <row r="1955">
      <c r="A1955" s="356"/>
      <c r="B1955" s="759"/>
      <c r="D1955" s="251"/>
      <c r="E1955" s="251"/>
      <c r="F1955" s="252"/>
      <c r="H1955" s="254"/>
      <c r="I1955" s="760"/>
    </row>
    <row r="1956">
      <c r="A1956" s="356"/>
      <c r="B1956" s="759"/>
      <c r="D1956" s="251"/>
      <c r="E1956" s="251"/>
      <c r="F1956" s="252"/>
      <c r="H1956" s="254"/>
      <c r="I1956" s="760"/>
    </row>
    <row r="1957">
      <c r="A1957" s="356"/>
      <c r="B1957" s="759"/>
      <c r="D1957" s="251"/>
      <c r="E1957" s="251"/>
      <c r="F1957" s="252"/>
      <c r="H1957" s="254"/>
      <c r="I1957" s="760"/>
    </row>
    <row r="1958">
      <c r="A1958" s="356"/>
      <c r="B1958" s="759"/>
      <c r="D1958" s="251"/>
      <c r="E1958" s="251"/>
      <c r="F1958" s="252"/>
      <c r="H1958" s="254"/>
      <c r="I1958" s="760"/>
    </row>
    <row r="1959">
      <c r="A1959" s="356"/>
      <c r="B1959" s="759"/>
      <c r="D1959" s="251"/>
      <c r="E1959" s="251"/>
      <c r="F1959" s="252"/>
      <c r="H1959" s="254"/>
      <c r="I1959" s="760"/>
    </row>
    <row r="1960">
      <c r="A1960" s="356"/>
      <c r="B1960" s="759"/>
      <c r="D1960" s="251"/>
      <c r="E1960" s="251"/>
      <c r="F1960" s="252"/>
      <c r="H1960" s="254"/>
      <c r="I1960" s="760"/>
    </row>
    <row r="1961">
      <c r="A1961" s="356"/>
      <c r="B1961" s="759"/>
      <c r="D1961" s="251"/>
      <c r="E1961" s="251"/>
      <c r="F1961" s="252"/>
      <c r="H1961" s="254"/>
      <c r="I1961" s="760"/>
    </row>
    <row r="1962">
      <c r="A1962" s="356"/>
      <c r="B1962" s="759"/>
      <c r="D1962" s="251"/>
      <c r="E1962" s="251"/>
      <c r="F1962" s="252"/>
      <c r="H1962" s="254"/>
      <c r="I1962" s="760"/>
    </row>
    <row r="1963">
      <c r="A1963" s="356"/>
      <c r="B1963" s="759"/>
      <c r="D1963" s="251"/>
      <c r="E1963" s="251"/>
      <c r="F1963" s="252"/>
      <c r="H1963" s="254"/>
      <c r="I1963" s="760"/>
    </row>
    <row r="1964">
      <c r="A1964" s="356"/>
      <c r="B1964" s="759"/>
      <c r="D1964" s="251"/>
      <c r="E1964" s="251"/>
      <c r="F1964" s="252"/>
      <c r="H1964" s="254"/>
      <c r="I1964" s="760"/>
    </row>
    <row r="1965">
      <c r="A1965" s="356"/>
      <c r="B1965" s="759"/>
      <c r="D1965" s="251"/>
      <c r="E1965" s="251"/>
      <c r="F1965" s="252"/>
      <c r="H1965" s="254"/>
      <c r="I1965" s="760"/>
    </row>
    <row r="1966">
      <c r="A1966" s="356"/>
      <c r="B1966" s="759"/>
      <c r="D1966" s="251"/>
      <c r="E1966" s="251"/>
      <c r="F1966" s="252"/>
      <c r="H1966" s="254"/>
      <c r="I1966" s="760"/>
    </row>
    <row r="1967">
      <c r="A1967" s="356"/>
      <c r="B1967" s="759"/>
      <c r="D1967" s="251"/>
      <c r="E1967" s="251"/>
      <c r="F1967" s="252"/>
      <c r="H1967" s="254"/>
      <c r="I1967" s="760"/>
    </row>
    <row r="1968">
      <c r="A1968" s="356"/>
      <c r="B1968" s="759"/>
      <c r="D1968" s="251"/>
      <c r="E1968" s="251"/>
      <c r="F1968" s="252"/>
      <c r="H1968" s="254"/>
      <c r="I1968" s="760"/>
    </row>
    <row r="1969">
      <c r="A1969" s="356"/>
      <c r="B1969" s="759"/>
      <c r="D1969" s="251"/>
      <c r="E1969" s="251"/>
      <c r="F1969" s="252"/>
      <c r="H1969" s="254"/>
      <c r="I1969" s="760"/>
    </row>
    <row r="1970">
      <c r="A1970" s="356"/>
      <c r="B1970" s="759"/>
      <c r="D1970" s="251"/>
      <c r="E1970" s="251"/>
      <c r="F1970" s="252"/>
      <c r="H1970" s="254"/>
      <c r="I1970" s="760"/>
    </row>
    <row r="1971">
      <c r="A1971" s="356"/>
      <c r="B1971" s="759"/>
      <c r="D1971" s="251"/>
      <c r="E1971" s="251"/>
      <c r="F1971" s="252"/>
      <c r="H1971" s="254"/>
      <c r="I1971" s="760"/>
    </row>
    <row r="1972">
      <c r="A1972" s="356"/>
      <c r="B1972" s="759"/>
      <c r="D1972" s="251"/>
      <c r="E1972" s="251"/>
      <c r="F1972" s="252"/>
      <c r="H1972" s="254"/>
      <c r="I1972" s="760"/>
    </row>
    <row r="1973">
      <c r="A1973" s="356"/>
      <c r="B1973" s="759"/>
      <c r="D1973" s="251"/>
      <c r="E1973" s="251"/>
      <c r="F1973" s="252"/>
      <c r="H1973" s="254"/>
      <c r="I1973" s="760"/>
    </row>
    <row r="1974">
      <c r="A1974" s="356"/>
      <c r="B1974" s="759"/>
      <c r="D1974" s="251"/>
      <c r="E1974" s="251"/>
      <c r="F1974" s="252"/>
      <c r="H1974" s="254"/>
      <c r="I1974" s="760"/>
    </row>
    <row r="1975">
      <c r="A1975" s="356"/>
      <c r="B1975" s="759"/>
      <c r="D1975" s="251"/>
      <c r="E1975" s="251"/>
      <c r="F1975" s="252"/>
      <c r="H1975" s="254"/>
      <c r="I1975" s="760"/>
    </row>
    <row r="1976">
      <c r="A1976" s="356"/>
      <c r="B1976" s="759"/>
      <c r="D1976" s="251"/>
      <c r="E1976" s="251"/>
      <c r="F1976" s="252"/>
      <c r="H1976" s="254"/>
      <c r="I1976" s="760"/>
    </row>
    <row r="1977">
      <c r="A1977" s="356"/>
      <c r="B1977" s="759"/>
      <c r="D1977" s="251"/>
      <c r="E1977" s="251"/>
      <c r="F1977" s="252"/>
      <c r="H1977" s="254"/>
      <c r="I1977" s="760"/>
    </row>
    <row r="1978">
      <c r="A1978" s="356"/>
      <c r="B1978" s="759"/>
      <c r="D1978" s="251"/>
      <c r="E1978" s="251"/>
      <c r="F1978" s="252"/>
      <c r="H1978" s="254"/>
      <c r="I1978" s="760"/>
    </row>
    <row r="1979">
      <c r="A1979" s="356"/>
      <c r="B1979" s="759"/>
      <c r="D1979" s="251"/>
      <c r="E1979" s="251"/>
      <c r="F1979" s="252"/>
      <c r="H1979" s="254"/>
      <c r="I1979" s="760"/>
    </row>
    <row r="1980">
      <c r="A1980" s="356"/>
      <c r="B1980" s="759"/>
      <c r="D1980" s="251"/>
      <c r="E1980" s="251"/>
      <c r="F1980" s="252"/>
      <c r="H1980" s="254"/>
      <c r="I1980" s="760"/>
    </row>
    <row r="1981">
      <c r="A1981" s="356"/>
      <c r="B1981" s="759"/>
      <c r="D1981" s="251"/>
      <c r="E1981" s="251"/>
      <c r="F1981" s="252"/>
      <c r="H1981" s="254"/>
      <c r="I1981" s="760"/>
    </row>
    <row r="1982">
      <c r="A1982" s="356"/>
      <c r="B1982" s="759"/>
      <c r="D1982" s="251"/>
      <c r="E1982" s="251"/>
      <c r="F1982" s="252"/>
      <c r="H1982" s="254"/>
      <c r="I1982" s="760"/>
    </row>
    <row r="1983">
      <c r="A1983" s="356"/>
      <c r="B1983" s="759"/>
      <c r="D1983" s="251"/>
      <c r="E1983" s="251"/>
      <c r="F1983" s="252"/>
      <c r="H1983" s="254"/>
      <c r="I1983" s="760"/>
    </row>
    <row r="1984">
      <c r="A1984" s="356"/>
      <c r="B1984" s="759"/>
      <c r="D1984" s="251"/>
      <c r="E1984" s="251"/>
      <c r="F1984" s="252"/>
      <c r="H1984" s="254"/>
      <c r="I1984" s="760"/>
    </row>
    <row r="1985">
      <c r="A1985" s="356"/>
      <c r="B1985" s="759"/>
      <c r="D1985" s="251"/>
      <c r="E1985" s="251"/>
      <c r="F1985" s="252"/>
      <c r="H1985" s="254"/>
      <c r="I1985" s="760"/>
    </row>
    <row r="1986">
      <c r="A1986" s="356"/>
      <c r="B1986" s="759"/>
      <c r="D1986" s="251"/>
      <c r="E1986" s="251"/>
      <c r="F1986" s="252"/>
      <c r="H1986" s="254"/>
      <c r="I1986" s="760"/>
    </row>
    <row r="1987">
      <c r="A1987" s="356"/>
      <c r="B1987" s="759"/>
      <c r="D1987" s="251"/>
      <c r="E1987" s="251"/>
      <c r="F1987" s="252"/>
      <c r="H1987" s="254"/>
      <c r="I1987" s="760"/>
    </row>
    <row r="1988">
      <c r="A1988" s="356"/>
      <c r="B1988" s="759"/>
      <c r="D1988" s="251"/>
      <c r="E1988" s="251"/>
      <c r="F1988" s="252"/>
      <c r="H1988" s="254"/>
      <c r="I1988" s="760"/>
    </row>
    <row r="1989">
      <c r="A1989" s="356"/>
      <c r="B1989" s="759"/>
      <c r="D1989" s="251"/>
      <c r="E1989" s="251"/>
      <c r="F1989" s="252"/>
      <c r="H1989" s="254"/>
      <c r="I1989" s="760"/>
    </row>
    <row r="1990">
      <c r="A1990" s="356"/>
      <c r="B1990" s="759"/>
      <c r="D1990" s="251"/>
      <c r="E1990" s="251"/>
      <c r="F1990" s="252"/>
      <c r="H1990" s="254"/>
      <c r="I1990" s="760"/>
    </row>
    <row r="1991">
      <c r="A1991" s="356"/>
      <c r="B1991" s="759"/>
      <c r="D1991" s="251"/>
      <c r="E1991" s="251"/>
      <c r="F1991" s="252"/>
      <c r="H1991" s="254"/>
      <c r="I1991" s="760"/>
    </row>
    <row r="1992">
      <c r="A1992" s="356"/>
      <c r="B1992" s="759"/>
      <c r="D1992" s="251"/>
      <c r="E1992" s="251"/>
      <c r="F1992" s="252"/>
      <c r="H1992" s="254"/>
      <c r="I1992" s="760"/>
    </row>
    <row r="1993">
      <c r="A1993" s="356"/>
      <c r="B1993" s="759"/>
      <c r="D1993" s="251"/>
      <c r="E1993" s="251"/>
      <c r="F1993" s="252"/>
      <c r="H1993" s="254"/>
      <c r="I1993" s="760"/>
    </row>
    <row r="1994">
      <c r="A1994" s="356"/>
      <c r="B1994" s="759"/>
      <c r="D1994" s="251"/>
      <c r="E1994" s="251"/>
      <c r="F1994" s="252"/>
      <c r="H1994" s="254"/>
      <c r="I1994" s="760"/>
    </row>
    <row r="1995">
      <c r="A1995" s="356"/>
      <c r="B1995" s="759"/>
      <c r="D1995" s="251"/>
      <c r="E1995" s="251"/>
      <c r="F1995" s="252"/>
      <c r="H1995" s="254"/>
      <c r="I1995" s="760"/>
    </row>
    <row r="1996">
      <c r="A1996" s="356"/>
      <c r="B1996" s="759"/>
      <c r="D1996" s="251"/>
      <c r="E1996" s="251"/>
      <c r="F1996" s="252"/>
      <c r="H1996" s="254"/>
      <c r="I1996" s="760"/>
    </row>
    <row r="1997">
      <c r="A1997" s="356"/>
      <c r="B1997" s="759"/>
      <c r="D1997" s="251"/>
      <c r="E1997" s="251"/>
      <c r="F1997" s="252"/>
      <c r="H1997" s="254"/>
      <c r="I1997" s="760"/>
    </row>
    <row r="1998">
      <c r="A1998" s="356"/>
      <c r="B1998" s="759"/>
      <c r="D1998" s="251"/>
      <c r="E1998" s="251"/>
      <c r="F1998" s="252"/>
      <c r="H1998" s="254"/>
      <c r="I1998" s="760"/>
    </row>
    <row r="1999">
      <c r="A1999" s="356"/>
      <c r="B1999" s="759"/>
      <c r="D1999" s="251"/>
      <c r="E1999" s="251"/>
      <c r="F1999" s="252"/>
      <c r="H1999" s="254"/>
      <c r="I1999" s="760"/>
    </row>
    <row r="2000">
      <c r="A2000" s="356"/>
      <c r="B2000" s="759"/>
      <c r="D2000" s="251"/>
      <c r="E2000" s="251"/>
      <c r="F2000" s="252"/>
      <c r="H2000" s="254"/>
      <c r="I2000" s="760"/>
    </row>
    <row r="2001">
      <c r="A2001" s="356"/>
      <c r="B2001" s="759"/>
      <c r="D2001" s="251"/>
      <c r="E2001" s="251"/>
      <c r="F2001" s="252"/>
      <c r="H2001" s="254"/>
      <c r="I2001" s="760"/>
    </row>
    <row r="2002">
      <c r="A2002" s="356"/>
      <c r="B2002" s="759"/>
      <c r="D2002" s="251"/>
      <c r="E2002" s="251"/>
      <c r="F2002" s="252"/>
      <c r="H2002" s="254"/>
      <c r="I2002" s="760"/>
    </row>
    <row r="2003">
      <c r="A2003" s="356"/>
      <c r="B2003" s="759"/>
      <c r="D2003" s="251"/>
      <c r="E2003" s="251"/>
      <c r="F2003" s="252"/>
      <c r="H2003" s="254"/>
      <c r="I2003" s="760"/>
    </row>
    <row r="2004">
      <c r="A2004" s="356"/>
      <c r="B2004" s="759"/>
      <c r="D2004" s="251"/>
      <c r="E2004" s="251"/>
      <c r="F2004" s="252"/>
      <c r="H2004" s="254"/>
      <c r="I2004" s="760"/>
    </row>
    <row r="2005">
      <c r="A2005" s="356"/>
      <c r="B2005" s="759"/>
      <c r="D2005" s="251"/>
      <c r="E2005" s="251"/>
      <c r="F2005" s="252"/>
      <c r="H2005" s="254"/>
      <c r="I2005" s="760"/>
    </row>
    <row r="2006">
      <c r="A2006" s="356"/>
      <c r="B2006" s="759"/>
      <c r="D2006" s="251"/>
      <c r="E2006" s="251"/>
      <c r="F2006" s="252"/>
      <c r="H2006" s="254"/>
      <c r="I2006" s="760"/>
    </row>
    <row r="2007">
      <c r="A2007" s="356"/>
      <c r="B2007" s="759"/>
      <c r="D2007" s="251"/>
      <c r="E2007" s="251"/>
      <c r="F2007" s="252"/>
      <c r="H2007" s="254"/>
      <c r="I2007" s="760"/>
    </row>
    <row r="2008">
      <c r="A2008" s="356"/>
      <c r="B2008" s="759"/>
      <c r="D2008" s="251"/>
      <c r="E2008" s="251"/>
      <c r="F2008" s="252"/>
      <c r="H2008" s="254"/>
      <c r="I2008" s="760"/>
    </row>
    <row r="2009">
      <c r="A2009" s="356"/>
      <c r="B2009" s="759"/>
      <c r="D2009" s="251"/>
      <c r="E2009" s="251"/>
      <c r="F2009" s="252"/>
      <c r="H2009" s="254"/>
      <c r="I2009" s="760"/>
    </row>
    <row r="2010">
      <c r="A2010" s="356"/>
      <c r="B2010" s="759"/>
      <c r="D2010" s="251"/>
      <c r="E2010" s="251"/>
      <c r="F2010" s="252"/>
      <c r="H2010" s="254"/>
      <c r="I2010" s="760"/>
    </row>
    <row r="2011">
      <c r="A2011" s="356"/>
      <c r="B2011" s="759"/>
      <c r="D2011" s="251"/>
      <c r="E2011" s="251"/>
      <c r="F2011" s="252"/>
      <c r="H2011" s="254"/>
      <c r="I2011" s="760"/>
    </row>
    <row r="2012">
      <c r="A2012" s="356"/>
      <c r="B2012" s="759"/>
      <c r="D2012" s="251"/>
      <c r="E2012" s="251"/>
      <c r="F2012" s="252"/>
      <c r="H2012" s="254"/>
      <c r="I2012" s="760"/>
    </row>
    <row r="2013">
      <c r="A2013" s="356"/>
      <c r="B2013" s="759"/>
      <c r="D2013" s="251"/>
      <c r="E2013" s="251"/>
      <c r="F2013" s="252"/>
      <c r="H2013" s="254"/>
      <c r="I2013" s="760"/>
    </row>
    <row r="2014">
      <c r="A2014" s="356"/>
      <c r="B2014" s="759"/>
      <c r="D2014" s="251"/>
      <c r="E2014" s="251"/>
      <c r="F2014" s="252"/>
      <c r="H2014" s="254"/>
      <c r="I2014" s="760"/>
    </row>
    <row r="2015">
      <c r="A2015" s="356"/>
      <c r="B2015" s="759"/>
      <c r="D2015" s="251"/>
      <c r="E2015" s="251"/>
      <c r="F2015" s="252"/>
      <c r="H2015" s="254"/>
      <c r="I2015" s="760"/>
    </row>
    <row r="2016">
      <c r="A2016" s="356"/>
      <c r="B2016" s="759"/>
      <c r="D2016" s="251"/>
      <c r="E2016" s="251"/>
      <c r="F2016" s="252"/>
      <c r="H2016" s="254"/>
      <c r="I2016" s="760"/>
    </row>
    <row r="2017">
      <c r="A2017" s="356"/>
      <c r="B2017" s="759"/>
      <c r="D2017" s="251"/>
      <c r="E2017" s="251"/>
      <c r="F2017" s="252"/>
      <c r="H2017" s="254"/>
      <c r="I2017" s="760"/>
    </row>
    <row r="2018">
      <c r="A2018" s="356"/>
      <c r="B2018" s="759"/>
      <c r="D2018" s="251"/>
      <c r="E2018" s="251"/>
      <c r="F2018" s="252"/>
      <c r="H2018" s="254"/>
      <c r="I2018" s="760"/>
    </row>
    <row r="2019">
      <c r="A2019" s="356"/>
      <c r="B2019" s="759"/>
      <c r="D2019" s="251"/>
      <c r="E2019" s="251"/>
      <c r="F2019" s="252"/>
      <c r="H2019" s="254"/>
      <c r="I2019" s="760"/>
    </row>
    <row r="2020">
      <c r="A2020" s="356"/>
      <c r="B2020" s="759"/>
      <c r="D2020" s="251"/>
      <c r="E2020" s="251"/>
      <c r="F2020" s="252"/>
      <c r="H2020" s="254"/>
      <c r="I2020" s="760"/>
    </row>
    <row r="2021">
      <c r="A2021" s="356"/>
      <c r="B2021" s="759"/>
      <c r="D2021" s="251"/>
      <c r="E2021" s="251"/>
      <c r="F2021" s="252"/>
      <c r="H2021" s="254"/>
      <c r="I2021" s="760"/>
    </row>
    <row r="2022">
      <c r="A2022" s="356"/>
      <c r="B2022" s="759"/>
      <c r="D2022" s="251"/>
      <c r="E2022" s="251"/>
      <c r="F2022" s="252"/>
      <c r="H2022" s="254"/>
      <c r="I2022" s="760"/>
    </row>
    <row r="2023">
      <c r="A2023" s="356"/>
      <c r="B2023" s="759"/>
      <c r="D2023" s="251"/>
      <c r="E2023" s="251"/>
      <c r="F2023" s="252"/>
      <c r="H2023" s="254"/>
      <c r="I2023" s="760"/>
    </row>
    <row r="2024">
      <c r="A2024" s="356"/>
      <c r="B2024" s="759"/>
      <c r="D2024" s="251"/>
      <c r="E2024" s="251"/>
      <c r="F2024" s="252"/>
      <c r="H2024" s="254"/>
      <c r="I2024" s="760"/>
    </row>
    <row r="2025">
      <c r="A2025" s="356"/>
      <c r="B2025" s="759"/>
      <c r="D2025" s="251"/>
      <c r="E2025" s="251"/>
      <c r="F2025" s="252"/>
      <c r="H2025" s="254"/>
      <c r="I2025" s="760"/>
    </row>
    <row r="2026">
      <c r="A2026" s="356"/>
      <c r="B2026" s="759"/>
      <c r="D2026" s="251"/>
      <c r="E2026" s="251"/>
      <c r="F2026" s="252"/>
      <c r="H2026" s="254"/>
      <c r="I2026" s="760"/>
    </row>
    <row r="2027">
      <c r="A2027" s="356"/>
      <c r="B2027" s="759"/>
      <c r="D2027" s="251"/>
      <c r="E2027" s="251"/>
      <c r="F2027" s="252"/>
      <c r="H2027" s="254"/>
      <c r="I2027" s="760"/>
    </row>
    <row r="2028">
      <c r="A2028" s="356"/>
      <c r="B2028" s="759"/>
      <c r="D2028" s="251"/>
      <c r="E2028" s="251"/>
      <c r="F2028" s="252"/>
      <c r="H2028" s="254"/>
      <c r="I2028" s="760"/>
    </row>
    <row r="2029">
      <c r="A2029" s="356"/>
      <c r="B2029" s="759"/>
      <c r="D2029" s="251"/>
      <c r="E2029" s="251"/>
      <c r="F2029" s="252"/>
      <c r="H2029" s="254"/>
      <c r="I2029" s="760"/>
    </row>
    <row r="2030">
      <c r="A2030" s="356"/>
      <c r="B2030" s="759"/>
      <c r="D2030" s="251"/>
      <c r="E2030" s="251"/>
      <c r="F2030" s="252"/>
      <c r="H2030" s="254"/>
      <c r="I2030" s="760"/>
    </row>
    <row r="2031">
      <c r="A2031" s="356"/>
      <c r="B2031" s="759"/>
      <c r="D2031" s="251"/>
      <c r="E2031" s="251"/>
      <c r="F2031" s="252"/>
      <c r="H2031" s="254"/>
      <c r="I2031" s="760"/>
    </row>
    <row r="2032">
      <c r="A2032" s="356"/>
      <c r="B2032" s="759"/>
      <c r="D2032" s="251"/>
      <c r="E2032" s="251"/>
      <c r="F2032" s="252"/>
      <c r="H2032" s="254"/>
      <c r="I2032" s="760"/>
    </row>
    <row r="2033">
      <c r="A2033" s="356"/>
      <c r="B2033" s="759"/>
      <c r="D2033" s="251"/>
      <c r="E2033" s="251"/>
      <c r="F2033" s="252"/>
      <c r="H2033" s="254"/>
      <c r="I2033" s="760"/>
    </row>
    <row r="2034">
      <c r="A2034" s="356"/>
      <c r="B2034" s="759"/>
      <c r="D2034" s="251"/>
      <c r="E2034" s="251"/>
      <c r="F2034" s="252"/>
      <c r="H2034" s="254"/>
      <c r="I2034" s="760"/>
    </row>
    <row r="2035">
      <c r="A2035" s="356"/>
      <c r="B2035" s="759"/>
      <c r="D2035" s="251"/>
      <c r="E2035" s="251"/>
      <c r="F2035" s="252"/>
      <c r="H2035" s="254"/>
      <c r="I2035" s="760"/>
    </row>
    <row r="2036">
      <c r="A2036" s="356"/>
      <c r="B2036" s="759"/>
      <c r="D2036" s="251"/>
      <c r="E2036" s="251"/>
      <c r="F2036" s="252"/>
      <c r="H2036" s="254"/>
      <c r="I2036" s="760"/>
    </row>
    <row r="2037">
      <c r="A2037" s="356"/>
      <c r="B2037" s="759"/>
      <c r="D2037" s="251"/>
      <c r="E2037" s="251"/>
      <c r="F2037" s="252"/>
      <c r="H2037" s="254"/>
      <c r="I2037" s="760"/>
    </row>
    <row r="2038">
      <c r="A2038" s="356"/>
      <c r="B2038" s="759"/>
      <c r="D2038" s="251"/>
      <c r="E2038" s="251"/>
      <c r="F2038" s="252"/>
      <c r="H2038" s="254"/>
      <c r="I2038" s="760"/>
    </row>
    <row r="2039">
      <c r="A2039" s="356"/>
      <c r="B2039" s="759"/>
      <c r="D2039" s="251"/>
      <c r="E2039" s="251"/>
      <c r="F2039" s="252"/>
      <c r="H2039" s="254"/>
      <c r="I2039" s="760"/>
    </row>
    <row r="2040">
      <c r="A2040" s="356"/>
      <c r="B2040" s="759"/>
      <c r="D2040" s="251"/>
      <c r="E2040" s="251"/>
      <c r="F2040" s="252"/>
      <c r="H2040" s="254"/>
      <c r="I2040" s="760"/>
    </row>
  </sheetData>
  <mergeCells count="901">
    <mergeCell ref="B878:B881"/>
    <mergeCell ref="C878:C881"/>
    <mergeCell ref="A872:A873"/>
    <mergeCell ref="B872:B873"/>
    <mergeCell ref="C872:C873"/>
    <mergeCell ref="A874:A877"/>
    <mergeCell ref="B874:B877"/>
    <mergeCell ref="C874:C877"/>
    <mergeCell ref="A878:A881"/>
    <mergeCell ref="B891:B893"/>
    <mergeCell ref="C891:C893"/>
    <mergeCell ref="A882:A886"/>
    <mergeCell ref="B882:B886"/>
    <mergeCell ref="C882:C886"/>
    <mergeCell ref="A887:A890"/>
    <mergeCell ref="B887:B890"/>
    <mergeCell ref="C887:C890"/>
    <mergeCell ref="A891:A893"/>
    <mergeCell ref="B903:B905"/>
    <mergeCell ref="C903:C905"/>
    <mergeCell ref="A912:G912"/>
    <mergeCell ref="A894:A897"/>
    <mergeCell ref="B894:B897"/>
    <mergeCell ref="C894:C897"/>
    <mergeCell ref="A898:A902"/>
    <mergeCell ref="B898:B902"/>
    <mergeCell ref="C898:C902"/>
    <mergeCell ref="A903:A905"/>
    <mergeCell ref="B913:B914"/>
    <mergeCell ref="C913:C914"/>
    <mergeCell ref="A906:A908"/>
    <mergeCell ref="B906:B908"/>
    <mergeCell ref="C906:C908"/>
    <mergeCell ref="A909:A911"/>
    <mergeCell ref="B909:B911"/>
    <mergeCell ref="C909:C911"/>
    <mergeCell ref="A913:A914"/>
    <mergeCell ref="B923:B926"/>
    <mergeCell ref="C923:C926"/>
    <mergeCell ref="A915:A917"/>
    <mergeCell ref="B915:B917"/>
    <mergeCell ref="C915:C917"/>
    <mergeCell ref="A918:A922"/>
    <mergeCell ref="B918:B922"/>
    <mergeCell ref="C918:C922"/>
    <mergeCell ref="A923:A926"/>
    <mergeCell ref="B933:B935"/>
    <mergeCell ref="C933:C935"/>
    <mergeCell ref="A927:A929"/>
    <mergeCell ref="B927:B929"/>
    <mergeCell ref="C927:C929"/>
    <mergeCell ref="A930:A932"/>
    <mergeCell ref="B930:B932"/>
    <mergeCell ref="C930:C932"/>
    <mergeCell ref="A933:A935"/>
    <mergeCell ref="B941:B943"/>
    <mergeCell ref="C941:C943"/>
    <mergeCell ref="A936:A938"/>
    <mergeCell ref="B936:B938"/>
    <mergeCell ref="C936:C938"/>
    <mergeCell ref="A939:A940"/>
    <mergeCell ref="B939:B940"/>
    <mergeCell ref="C939:C940"/>
    <mergeCell ref="A941:A943"/>
    <mergeCell ref="B950:B952"/>
    <mergeCell ref="C950:C952"/>
    <mergeCell ref="A944:A946"/>
    <mergeCell ref="B944:B946"/>
    <mergeCell ref="C944:C946"/>
    <mergeCell ref="A947:A949"/>
    <mergeCell ref="B947:B949"/>
    <mergeCell ref="C947:C949"/>
    <mergeCell ref="A950:A952"/>
    <mergeCell ref="B959:B961"/>
    <mergeCell ref="C959:C961"/>
    <mergeCell ref="A953:A955"/>
    <mergeCell ref="B953:B955"/>
    <mergeCell ref="C953:C955"/>
    <mergeCell ref="A956:A958"/>
    <mergeCell ref="B956:B958"/>
    <mergeCell ref="C956:C958"/>
    <mergeCell ref="A959:A961"/>
    <mergeCell ref="B969:B972"/>
    <mergeCell ref="C969:C972"/>
    <mergeCell ref="A962:A965"/>
    <mergeCell ref="B962:B965"/>
    <mergeCell ref="C962:C965"/>
    <mergeCell ref="A966:A968"/>
    <mergeCell ref="B966:B968"/>
    <mergeCell ref="C966:C968"/>
    <mergeCell ref="A969:A972"/>
    <mergeCell ref="B980:B983"/>
    <mergeCell ref="C980:C983"/>
    <mergeCell ref="A973:A975"/>
    <mergeCell ref="B973:B975"/>
    <mergeCell ref="C973:C975"/>
    <mergeCell ref="A976:A979"/>
    <mergeCell ref="B976:B979"/>
    <mergeCell ref="C976:C979"/>
    <mergeCell ref="A980:A983"/>
    <mergeCell ref="B991:B994"/>
    <mergeCell ref="C991:C994"/>
    <mergeCell ref="A984:A985"/>
    <mergeCell ref="B984:B985"/>
    <mergeCell ref="C984:C985"/>
    <mergeCell ref="A986:A990"/>
    <mergeCell ref="B986:B990"/>
    <mergeCell ref="C986:C990"/>
    <mergeCell ref="A991:A994"/>
    <mergeCell ref="B1002:B1005"/>
    <mergeCell ref="C1002:C1005"/>
    <mergeCell ref="A995:A998"/>
    <mergeCell ref="B995:B998"/>
    <mergeCell ref="C995:C998"/>
    <mergeCell ref="A999:A1001"/>
    <mergeCell ref="B999:B1001"/>
    <mergeCell ref="C999:C1001"/>
    <mergeCell ref="A1002:A1005"/>
    <mergeCell ref="B1013:B1017"/>
    <mergeCell ref="C1013:C1017"/>
    <mergeCell ref="A1006:A1008"/>
    <mergeCell ref="B1006:B1008"/>
    <mergeCell ref="C1006:C1008"/>
    <mergeCell ref="A1009:A1012"/>
    <mergeCell ref="B1009:B1012"/>
    <mergeCell ref="C1009:C1012"/>
    <mergeCell ref="A1013:A1017"/>
    <mergeCell ref="B1026:B1028"/>
    <mergeCell ref="C1026:C1028"/>
    <mergeCell ref="A1018:A1020"/>
    <mergeCell ref="B1018:B1020"/>
    <mergeCell ref="C1018:C1020"/>
    <mergeCell ref="A1021:A1025"/>
    <mergeCell ref="B1021:B1025"/>
    <mergeCell ref="C1021:C1025"/>
    <mergeCell ref="A1026:A1028"/>
    <mergeCell ref="B1036:B1039"/>
    <mergeCell ref="C1036:C1039"/>
    <mergeCell ref="A1029:A1031"/>
    <mergeCell ref="B1029:B1031"/>
    <mergeCell ref="C1029:C1031"/>
    <mergeCell ref="A1032:A1035"/>
    <mergeCell ref="B1032:B1035"/>
    <mergeCell ref="C1032:C1035"/>
    <mergeCell ref="A1036:A1039"/>
    <mergeCell ref="B1047:B1051"/>
    <mergeCell ref="C1047:C1051"/>
    <mergeCell ref="A1040:A1042"/>
    <mergeCell ref="B1040:B1042"/>
    <mergeCell ref="C1040:C1042"/>
    <mergeCell ref="A1043:A1046"/>
    <mergeCell ref="B1043:B1046"/>
    <mergeCell ref="C1043:C1046"/>
    <mergeCell ref="A1047:A1051"/>
    <mergeCell ref="B1059:B1062"/>
    <mergeCell ref="C1059:C1062"/>
    <mergeCell ref="A1052:A1054"/>
    <mergeCell ref="B1052:B1054"/>
    <mergeCell ref="C1052:C1054"/>
    <mergeCell ref="A1055:A1058"/>
    <mergeCell ref="B1055:B1058"/>
    <mergeCell ref="C1055:C1058"/>
    <mergeCell ref="A1059:A1062"/>
    <mergeCell ref="B1069:B1071"/>
    <mergeCell ref="C1069:C1071"/>
    <mergeCell ref="A1063:A1065"/>
    <mergeCell ref="B1063:B1065"/>
    <mergeCell ref="C1063:C1065"/>
    <mergeCell ref="A1066:A1068"/>
    <mergeCell ref="B1066:B1068"/>
    <mergeCell ref="C1066:C1068"/>
    <mergeCell ref="A1069:A1071"/>
    <mergeCell ref="B1078:B1080"/>
    <mergeCell ref="C1078:C1080"/>
    <mergeCell ref="A1072:A1074"/>
    <mergeCell ref="B1072:B1074"/>
    <mergeCell ref="C1072:C1074"/>
    <mergeCell ref="A1075:A1077"/>
    <mergeCell ref="B1075:B1077"/>
    <mergeCell ref="C1075:C1077"/>
    <mergeCell ref="A1078:A1080"/>
    <mergeCell ref="A1081:A1083"/>
    <mergeCell ref="B1081:B1083"/>
    <mergeCell ref="C1081:C1083"/>
    <mergeCell ref="A1084:A1087"/>
    <mergeCell ref="B1084:B1087"/>
    <mergeCell ref="C1084:C1087"/>
    <mergeCell ref="A1088:A1090"/>
    <mergeCell ref="B1088:B1090"/>
    <mergeCell ref="C1088:C1090"/>
    <mergeCell ref="D1110:D1111"/>
    <mergeCell ref="E1110:E1111"/>
    <mergeCell ref="F1110:F1111"/>
    <mergeCell ref="G1110:G1111"/>
    <mergeCell ref="H1110:H1111"/>
    <mergeCell ref="I1110:I1111"/>
    <mergeCell ref="D1201:I1201"/>
    <mergeCell ref="D1202:I1202"/>
    <mergeCell ref="D1203:I1203"/>
    <mergeCell ref="D1204:I1204"/>
    <mergeCell ref="D1205:I1205"/>
    <mergeCell ref="D1206:I1206"/>
    <mergeCell ref="D1207:I1207"/>
    <mergeCell ref="D1208:I1208"/>
    <mergeCell ref="D1209:I1209"/>
    <mergeCell ref="D1210:I1210"/>
    <mergeCell ref="D1211:I1211"/>
    <mergeCell ref="D1212:I1212"/>
    <mergeCell ref="D1213:I1213"/>
    <mergeCell ref="D1221:I1221"/>
    <mergeCell ref="D1222:I1222"/>
    <mergeCell ref="D1223:I1223"/>
    <mergeCell ref="D1214:I1214"/>
    <mergeCell ref="D1215:I1215"/>
    <mergeCell ref="D1216:I1216"/>
    <mergeCell ref="D1217:I1217"/>
    <mergeCell ref="D1218:I1218"/>
    <mergeCell ref="D1219:I1219"/>
    <mergeCell ref="D1220:I1220"/>
    <mergeCell ref="B866:B871"/>
    <mergeCell ref="C866:C871"/>
    <mergeCell ref="A859:A861"/>
    <mergeCell ref="B859:B861"/>
    <mergeCell ref="C859:C861"/>
    <mergeCell ref="A862:A865"/>
    <mergeCell ref="B862:B865"/>
    <mergeCell ref="C862:C865"/>
    <mergeCell ref="A866:A871"/>
    <mergeCell ref="B1152:B1153"/>
    <mergeCell ref="C1152:C1153"/>
    <mergeCell ref="A1146:A1148"/>
    <mergeCell ref="B1146:B1148"/>
    <mergeCell ref="C1146:C1148"/>
    <mergeCell ref="A1149:A1151"/>
    <mergeCell ref="B1149:B1151"/>
    <mergeCell ref="C1149:C1151"/>
    <mergeCell ref="A1152:A1153"/>
    <mergeCell ref="B1160:B1162"/>
    <mergeCell ref="C1160:C1162"/>
    <mergeCell ref="A1154:A1156"/>
    <mergeCell ref="B1154:B1156"/>
    <mergeCell ref="C1154:C1156"/>
    <mergeCell ref="A1157:A1159"/>
    <mergeCell ref="B1157:B1159"/>
    <mergeCell ref="C1157:C1159"/>
    <mergeCell ref="A1160:A1162"/>
    <mergeCell ref="B1167:B1168"/>
    <mergeCell ref="C1167:C1168"/>
    <mergeCell ref="A1163:A1164"/>
    <mergeCell ref="B1163:B1164"/>
    <mergeCell ref="C1163:C1164"/>
    <mergeCell ref="A1165:A1166"/>
    <mergeCell ref="B1165:B1166"/>
    <mergeCell ref="C1165:C1166"/>
    <mergeCell ref="A1167:A1168"/>
    <mergeCell ref="B1174:B1175"/>
    <mergeCell ref="C1174:C1175"/>
    <mergeCell ref="A1169:A1170"/>
    <mergeCell ref="B1169:B1170"/>
    <mergeCell ref="C1169:C1170"/>
    <mergeCell ref="A1171:A1173"/>
    <mergeCell ref="B1171:B1173"/>
    <mergeCell ref="C1171:C1173"/>
    <mergeCell ref="A1174:A1175"/>
    <mergeCell ref="B1181:B1182"/>
    <mergeCell ref="C1181:C1182"/>
    <mergeCell ref="A1176:A1177"/>
    <mergeCell ref="B1176:B1177"/>
    <mergeCell ref="C1176:C1177"/>
    <mergeCell ref="A1178:A1179"/>
    <mergeCell ref="B1178:B1179"/>
    <mergeCell ref="C1178:C1179"/>
    <mergeCell ref="A1181:A1182"/>
    <mergeCell ref="B1190:B1191"/>
    <mergeCell ref="C1190:C1191"/>
    <mergeCell ref="A1183:A1184"/>
    <mergeCell ref="B1183:B1184"/>
    <mergeCell ref="C1183:C1184"/>
    <mergeCell ref="A1188:A1189"/>
    <mergeCell ref="B1188:B1189"/>
    <mergeCell ref="C1188:C1189"/>
    <mergeCell ref="A1190:A1191"/>
    <mergeCell ref="B832:B834"/>
    <mergeCell ref="C832:C834"/>
    <mergeCell ref="A823:A825"/>
    <mergeCell ref="B823:B825"/>
    <mergeCell ref="C823:C825"/>
    <mergeCell ref="A826:A831"/>
    <mergeCell ref="B826:B831"/>
    <mergeCell ref="C826:C831"/>
    <mergeCell ref="A832:A834"/>
    <mergeCell ref="B841:B844"/>
    <mergeCell ref="C841:C844"/>
    <mergeCell ref="A835:A837"/>
    <mergeCell ref="B835:B837"/>
    <mergeCell ref="C835:C837"/>
    <mergeCell ref="A838:A840"/>
    <mergeCell ref="B838:B840"/>
    <mergeCell ref="C838:C840"/>
    <mergeCell ref="A841:A844"/>
    <mergeCell ref="B855:B858"/>
    <mergeCell ref="C855:C858"/>
    <mergeCell ref="A845:A850"/>
    <mergeCell ref="B845:B850"/>
    <mergeCell ref="C845:C850"/>
    <mergeCell ref="A851:A854"/>
    <mergeCell ref="B851:B854"/>
    <mergeCell ref="C851:C854"/>
    <mergeCell ref="A855:A858"/>
    <mergeCell ref="A1192:A1193"/>
    <mergeCell ref="B1192:B1193"/>
    <mergeCell ref="C1192:C1193"/>
    <mergeCell ref="A1194:A1195"/>
    <mergeCell ref="B1194:B1195"/>
    <mergeCell ref="C1194:C1195"/>
    <mergeCell ref="B1097:B1099"/>
    <mergeCell ref="C1097:C1099"/>
    <mergeCell ref="A1091:A1093"/>
    <mergeCell ref="B1091:B1093"/>
    <mergeCell ref="C1091:C1093"/>
    <mergeCell ref="A1094:A1096"/>
    <mergeCell ref="B1094:B1096"/>
    <mergeCell ref="C1094:C1096"/>
    <mergeCell ref="A1097:A1099"/>
    <mergeCell ref="B1106:B1108"/>
    <mergeCell ref="C1106:C1108"/>
    <mergeCell ref="A1100:A1102"/>
    <mergeCell ref="B1100:B1102"/>
    <mergeCell ref="C1100:C1102"/>
    <mergeCell ref="A1103:A1105"/>
    <mergeCell ref="B1103:B1105"/>
    <mergeCell ref="C1103:C1105"/>
    <mergeCell ref="A1106:A1108"/>
    <mergeCell ref="B1115:B1116"/>
    <mergeCell ref="C1115:C1116"/>
    <mergeCell ref="A1109:A1111"/>
    <mergeCell ref="B1109:B1111"/>
    <mergeCell ref="C1109:C1111"/>
    <mergeCell ref="A1112:A1114"/>
    <mergeCell ref="B1112:B1114"/>
    <mergeCell ref="C1112:C1114"/>
    <mergeCell ref="A1115:A1116"/>
    <mergeCell ref="B1122:B1124"/>
    <mergeCell ref="C1122:C1124"/>
    <mergeCell ref="A1117:A1119"/>
    <mergeCell ref="B1117:B1119"/>
    <mergeCell ref="C1117:C1119"/>
    <mergeCell ref="A1120:A1121"/>
    <mergeCell ref="B1120:B1121"/>
    <mergeCell ref="C1120:C1121"/>
    <mergeCell ref="A1122:A1124"/>
    <mergeCell ref="B1129:B1130"/>
    <mergeCell ref="C1129:C1130"/>
    <mergeCell ref="A1125:A1126"/>
    <mergeCell ref="B1125:B1126"/>
    <mergeCell ref="C1125:C1126"/>
    <mergeCell ref="A1127:A1128"/>
    <mergeCell ref="B1127:B1128"/>
    <mergeCell ref="C1127:C1128"/>
    <mergeCell ref="A1129:A1130"/>
    <mergeCell ref="B1136:B1137"/>
    <mergeCell ref="C1136:C1137"/>
    <mergeCell ref="A1131:A1133"/>
    <mergeCell ref="B1131:B1133"/>
    <mergeCell ref="C1131:C1133"/>
    <mergeCell ref="A1134:A1135"/>
    <mergeCell ref="B1134:B1135"/>
    <mergeCell ref="C1134:C1135"/>
    <mergeCell ref="A1136:A1137"/>
    <mergeCell ref="B1143:B1145"/>
    <mergeCell ref="C1143:C1145"/>
    <mergeCell ref="A1138:A1139"/>
    <mergeCell ref="B1138:B1139"/>
    <mergeCell ref="C1138:C1139"/>
    <mergeCell ref="A1140:A1142"/>
    <mergeCell ref="B1140:B1142"/>
    <mergeCell ref="C1140:C1142"/>
    <mergeCell ref="A1143:A1145"/>
    <mergeCell ref="B13:B19"/>
    <mergeCell ref="C13:C19"/>
    <mergeCell ref="A2:A6"/>
    <mergeCell ref="B2:B6"/>
    <mergeCell ref="C2:C6"/>
    <mergeCell ref="A7:A12"/>
    <mergeCell ref="B7:B12"/>
    <mergeCell ref="C7:C12"/>
    <mergeCell ref="A13:A19"/>
    <mergeCell ref="B34:B39"/>
    <mergeCell ref="C34:C39"/>
    <mergeCell ref="A20:A26"/>
    <mergeCell ref="B20:B26"/>
    <mergeCell ref="C20:C26"/>
    <mergeCell ref="A27:A33"/>
    <mergeCell ref="B27:B33"/>
    <mergeCell ref="C27:C33"/>
    <mergeCell ref="A34:A39"/>
    <mergeCell ref="E45:E46"/>
    <mergeCell ref="F45:F46"/>
    <mergeCell ref="G45:G46"/>
    <mergeCell ref="H45:H46"/>
    <mergeCell ref="I45:I46"/>
    <mergeCell ref="A40:A44"/>
    <mergeCell ref="B40:B44"/>
    <mergeCell ref="C40:C44"/>
    <mergeCell ref="A45:A51"/>
    <mergeCell ref="B45:B51"/>
    <mergeCell ref="C45:C51"/>
    <mergeCell ref="D45:D46"/>
    <mergeCell ref="A52:A58"/>
    <mergeCell ref="B52:B58"/>
    <mergeCell ref="C52:C58"/>
    <mergeCell ref="A59:A63"/>
    <mergeCell ref="B59:B63"/>
    <mergeCell ref="C59:C63"/>
    <mergeCell ref="A64:G64"/>
    <mergeCell ref="B132:B136"/>
    <mergeCell ref="C132:C136"/>
    <mergeCell ref="A121:A125"/>
    <mergeCell ref="B121:B125"/>
    <mergeCell ref="C121:C125"/>
    <mergeCell ref="A126:A131"/>
    <mergeCell ref="B126:B131"/>
    <mergeCell ref="C126:C131"/>
    <mergeCell ref="A132:A136"/>
    <mergeCell ref="B149:B154"/>
    <mergeCell ref="C149:C154"/>
    <mergeCell ref="A137:A143"/>
    <mergeCell ref="B137:B143"/>
    <mergeCell ref="C137:C143"/>
    <mergeCell ref="A144:A148"/>
    <mergeCell ref="B144:B148"/>
    <mergeCell ref="C144:C148"/>
    <mergeCell ref="A149:A154"/>
    <mergeCell ref="B166:B170"/>
    <mergeCell ref="C166:C170"/>
    <mergeCell ref="A155:A159"/>
    <mergeCell ref="B155:B159"/>
    <mergeCell ref="C155:C159"/>
    <mergeCell ref="A160:A165"/>
    <mergeCell ref="B160:B165"/>
    <mergeCell ref="C160:C165"/>
    <mergeCell ref="A166:A170"/>
    <mergeCell ref="B181:B184"/>
    <mergeCell ref="C181:C184"/>
    <mergeCell ref="A171:A174"/>
    <mergeCell ref="B171:B174"/>
    <mergeCell ref="C171:C174"/>
    <mergeCell ref="A175:A180"/>
    <mergeCell ref="B175:B180"/>
    <mergeCell ref="C175:C180"/>
    <mergeCell ref="A181:A184"/>
    <mergeCell ref="B197:B200"/>
    <mergeCell ref="C197:C200"/>
    <mergeCell ref="A185:A190"/>
    <mergeCell ref="B185:B190"/>
    <mergeCell ref="C185:C190"/>
    <mergeCell ref="A191:A196"/>
    <mergeCell ref="B191:B196"/>
    <mergeCell ref="C191:C196"/>
    <mergeCell ref="A197:A200"/>
    <mergeCell ref="B229:B233"/>
    <mergeCell ref="C229:C233"/>
    <mergeCell ref="A219:A224"/>
    <mergeCell ref="B219:B224"/>
    <mergeCell ref="C219:C224"/>
    <mergeCell ref="A225:A228"/>
    <mergeCell ref="B225:B228"/>
    <mergeCell ref="C225:C228"/>
    <mergeCell ref="A229:A233"/>
    <mergeCell ref="B213:B218"/>
    <mergeCell ref="C213:C218"/>
    <mergeCell ref="A201:A205"/>
    <mergeCell ref="B201:B205"/>
    <mergeCell ref="C201:C205"/>
    <mergeCell ref="A206:A212"/>
    <mergeCell ref="B206:B212"/>
    <mergeCell ref="C206:C212"/>
    <mergeCell ref="A213:A218"/>
    <mergeCell ref="B247:B252"/>
    <mergeCell ref="C247:C252"/>
    <mergeCell ref="A234:A239"/>
    <mergeCell ref="B234:B239"/>
    <mergeCell ref="C234:C239"/>
    <mergeCell ref="A240:A246"/>
    <mergeCell ref="B240:B246"/>
    <mergeCell ref="C240:C246"/>
    <mergeCell ref="A247:A252"/>
    <mergeCell ref="B264:B268"/>
    <mergeCell ref="C264:C268"/>
    <mergeCell ref="D276:D277"/>
    <mergeCell ref="E276:E277"/>
    <mergeCell ref="F276:F277"/>
    <mergeCell ref="G276:G277"/>
    <mergeCell ref="H276:H277"/>
    <mergeCell ref="I276:I277"/>
    <mergeCell ref="A253:A258"/>
    <mergeCell ref="B253:B258"/>
    <mergeCell ref="C253:C258"/>
    <mergeCell ref="A259:A263"/>
    <mergeCell ref="B259:B263"/>
    <mergeCell ref="C259:C263"/>
    <mergeCell ref="A264:A268"/>
    <mergeCell ref="B280:B284"/>
    <mergeCell ref="C280:C284"/>
    <mergeCell ref="A269:A273"/>
    <mergeCell ref="B269:B273"/>
    <mergeCell ref="C269:C273"/>
    <mergeCell ref="A274:A279"/>
    <mergeCell ref="B274:B279"/>
    <mergeCell ref="C274:C279"/>
    <mergeCell ref="A280:A284"/>
    <mergeCell ref="B295:B299"/>
    <mergeCell ref="C295:C299"/>
    <mergeCell ref="A285:A288"/>
    <mergeCell ref="B285:B288"/>
    <mergeCell ref="C285:C288"/>
    <mergeCell ref="A289:A294"/>
    <mergeCell ref="B289:B294"/>
    <mergeCell ref="C289:C294"/>
    <mergeCell ref="A295:A299"/>
    <mergeCell ref="B310:B314"/>
    <mergeCell ref="C310:C314"/>
    <mergeCell ref="A300:A304"/>
    <mergeCell ref="B300:B304"/>
    <mergeCell ref="C300:C304"/>
    <mergeCell ref="A305:A309"/>
    <mergeCell ref="B305:B309"/>
    <mergeCell ref="C305:C309"/>
    <mergeCell ref="A310:A314"/>
    <mergeCell ref="A315:A319"/>
    <mergeCell ref="B315:B319"/>
    <mergeCell ref="C315:C319"/>
    <mergeCell ref="A320:A325"/>
    <mergeCell ref="B320:B325"/>
    <mergeCell ref="C320:C325"/>
    <mergeCell ref="A326:A332"/>
    <mergeCell ref="F500:F501"/>
    <mergeCell ref="G500:G501"/>
    <mergeCell ref="H500:H501"/>
    <mergeCell ref="I500:I501"/>
    <mergeCell ref="B326:B332"/>
    <mergeCell ref="C326:C332"/>
    <mergeCell ref="A414:G414"/>
    <mergeCell ref="F472:G474"/>
    <mergeCell ref="F475:G476"/>
    <mergeCell ref="D500:D501"/>
    <mergeCell ref="E500:E501"/>
    <mergeCell ref="B346:B351"/>
    <mergeCell ref="C346:C351"/>
    <mergeCell ref="A333:A339"/>
    <mergeCell ref="B333:B339"/>
    <mergeCell ref="C333:C339"/>
    <mergeCell ref="A340:A345"/>
    <mergeCell ref="B340:B345"/>
    <mergeCell ref="C340:C345"/>
    <mergeCell ref="A346:A351"/>
    <mergeCell ref="B383:B388"/>
    <mergeCell ref="C383:C388"/>
    <mergeCell ref="A371:A376"/>
    <mergeCell ref="B371:B376"/>
    <mergeCell ref="C371:C376"/>
    <mergeCell ref="A377:A382"/>
    <mergeCell ref="B377:B382"/>
    <mergeCell ref="C377:C382"/>
    <mergeCell ref="A383:A388"/>
    <mergeCell ref="B400:B404"/>
    <mergeCell ref="C400:C404"/>
    <mergeCell ref="A389:A394"/>
    <mergeCell ref="B389:B394"/>
    <mergeCell ref="C389:C394"/>
    <mergeCell ref="A395:A399"/>
    <mergeCell ref="B395:B399"/>
    <mergeCell ref="C395:C399"/>
    <mergeCell ref="A400:A404"/>
    <mergeCell ref="B415:B418"/>
    <mergeCell ref="C415:C418"/>
    <mergeCell ref="A405:A409"/>
    <mergeCell ref="B405:B409"/>
    <mergeCell ref="C405:C409"/>
    <mergeCell ref="A410:A413"/>
    <mergeCell ref="B410:B413"/>
    <mergeCell ref="C410:C413"/>
    <mergeCell ref="A415:A418"/>
    <mergeCell ref="B427:B432"/>
    <mergeCell ref="C427:C432"/>
    <mergeCell ref="A419:A422"/>
    <mergeCell ref="B419:B422"/>
    <mergeCell ref="C419:C422"/>
    <mergeCell ref="A423:A426"/>
    <mergeCell ref="B423:B426"/>
    <mergeCell ref="C423:C426"/>
    <mergeCell ref="A427:A432"/>
    <mergeCell ref="B441:B445"/>
    <mergeCell ref="C441:C445"/>
    <mergeCell ref="A433:A436"/>
    <mergeCell ref="B433:B436"/>
    <mergeCell ref="C433:C436"/>
    <mergeCell ref="A437:A440"/>
    <mergeCell ref="B437:B440"/>
    <mergeCell ref="C437:C440"/>
    <mergeCell ref="A441:A445"/>
    <mergeCell ref="B455:B458"/>
    <mergeCell ref="C455:C458"/>
    <mergeCell ref="A446:A449"/>
    <mergeCell ref="B446:B449"/>
    <mergeCell ref="C446:C449"/>
    <mergeCell ref="A450:A454"/>
    <mergeCell ref="B450:B454"/>
    <mergeCell ref="C450:C454"/>
    <mergeCell ref="A455:A458"/>
    <mergeCell ref="B468:B471"/>
    <mergeCell ref="C468:C471"/>
    <mergeCell ref="A459:A463"/>
    <mergeCell ref="B459:B463"/>
    <mergeCell ref="C459:C463"/>
    <mergeCell ref="A464:A467"/>
    <mergeCell ref="B464:B467"/>
    <mergeCell ref="C464:C467"/>
    <mergeCell ref="A468:A471"/>
    <mergeCell ref="B482:B486"/>
    <mergeCell ref="C482:C486"/>
    <mergeCell ref="A472:A476"/>
    <mergeCell ref="B472:B476"/>
    <mergeCell ref="C472:C476"/>
    <mergeCell ref="A477:A481"/>
    <mergeCell ref="B477:B481"/>
    <mergeCell ref="C477:C481"/>
    <mergeCell ref="A482:A486"/>
    <mergeCell ref="B495:B501"/>
    <mergeCell ref="C495:C501"/>
    <mergeCell ref="A487:A490"/>
    <mergeCell ref="B487:B490"/>
    <mergeCell ref="C487:C490"/>
    <mergeCell ref="A491:A494"/>
    <mergeCell ref="B491:B494"/>
    <mergeCell ref="C491:C494"/>
    <mergeCell ref="A495:A501"/>
    <mergeCell ref="B512:B515"/>
    <mergeCell ref="C512:C515"/>
    <mergeCell ref="A502:A507"/>
    <mergeCell ref="B502:B507"/>
    <mergeCell ref="C502:C507"/>
    <mergeCell ref="A508:A511"/>
    <mergeCell ref="B508:B511"/>
    <mergeCell ref="C508:C511"/>
    <mergeCell ref="A512:A515"/>
    <mergeCell ref="B526:B529"/>
    <mergeCell ref="C526:C529"/>
    <mergeCell ref="A516:A521"/>
    <mergeCell ref="B516:B521"/>
    <mergeCell ref="C516:C521"/>
    <mergeCell ref="A522:A525"/>
    <mergeCell ref="B522:B525"/>
    <mergeCell ref="C522:C525"/>
    <mergeCell ref="A526:A529"/>
    <mergeCell ref="B541:B544"/>
    <mergeCell ref="C541:C544"/>
    <mergeCell ref="A530:A534"/>
    <mergeCell ref="B530:B534"/>
    <mergeCell ref="C530:C534"/>
    <mergeCell ref="A535:A540"/>
    <mergeCell ref="B535:B540"/>
    <mergeCell ref="C535:C540"/>
    <mergeCell ref="A541:A544"/>
    <mergeCell ref="B554:B557"/>
    <mergeCell ref="C554:C557"/>
    <mergeCell ref="D574:D575"/>
    <mergeCell ref="E574:E575"/>
    <mergeCell ref="F574:F575"/>
    <mergeCell ref="G574:G575"/>
    <mergeCell ref="H574:H575"/>
    <mergeCell ref="I574:I575"/>
    <mergeCell ref="A545:A548"/>
    <mergeCell ref="B545:B548"/>
    <mergeCell ref="C545:C548"/>
    <mergeCell ref="A549:A553"/>
    <mergeCell ref="B549:B553"/>
    <mergeCell ref="C549:C553"/>
    <mergeCell ref="A554:A557"/>
    <mergeCell ref="B567:B570"/>
    <mergeCell ref="C567:C570"/>
    <mergeCell ref="A558:A561"/>
    <mergeCell ref="B558:B561"/>
    <mergeCell ref="C558:C561"/>
    <mergeCell ref="A562:A566"/>
    <mergeCell ref="B562:B566"/>
    <mergeCell ref="C562:C566"/>
    <mergeCell ref="A567:A570"/>
    <mergeCell ref="B584:B588"/>
    <mergeCell ref="C584:C588"/>
    <mergeCell ref="A571:A577"/>
    <mergeCell ref="B571:B577"/>
    <mergeCell ref="C571:C577"/>
    <mergeCell ref="A578:A583"/>
    <mergeCell ref="B578:B583"/>
    <mergeCell ref="C578:C583"/>
    <mergeCell ref="A584:A588"/>
    <mergeCell ref="B601:B606"/>
    <mergeCell ref="C601:C606"/>
    <mergeCell ref="A589:A594"/>
    <mergeCell ref="B589:B594"/>
    <mergeCell ref="C589:C594"/>
    <mergeCell ref="A595:A600"/>
    <mergeCell ref="B595:B600"/>
    <mergeCell ref="C595:C600"/>
    <mergeCell ref="A601:A606"/>
    <mergeCell ref="B616:B619"/>
    <mergeCell ref="C616:C619"/>
    <mergeCell ref="A607:A611"/>
    <mergeCell ref="B607:B611"/>
    <mergeCell ref="C607:C611"/>
    <mergeCell ref="A612:A615"/>
    <mergeCell ref="B612:B615"/>
    <mergeCell ref="C612:C615"/>
    <mergeCell ref="A616:A619"/>
    <mergeCell ref="B629:B632"/>
    <mergeCell ref="C629:C632"/>
    <mergeCell ref="A620:A624"/>
    <mergeCell ref="B620:B624"/>
    <mergeCell ref="C620:C624"/>
    <mergeCell ref="A625:A628"/>
    <mergeCell ref="B625:B628"/>
    <mergeCell ref="C625:C628"/>
    <mergeCell ref="A629:A632"/>
    <mergeCell ref="B639:B641"/>
    <mergeCell ref="C639:C641"/>
    <mergeCell ref="A633:A635"/>
    <mergeCell ref="B633:B635"/>
    <mergeCell ref="C633:C635"/>
    <mergeCell ref="A636:A638"/>
    <mergeCell ref="B636:B638"/>
    <mergeCell ref="C636:C638"/>
    <mergeCell ref="A639:A641"/>
    <mergeCell ref="B649:B652"/>
    <mergeCell ref="C649:C652"/>
    <mergeCell ref="D717:D718"/>
    <mergeCell ref="E717:E718"/>
    <mergeCell ref="F717:F718"/>
    <mergeCell ref="G717:G718"/>
    <mergeCell ref="H717:H718"/>
    <mergeCell ref="I717:I718"/>
    <mergeCell ref="A642:A644"/>
    <mergeCell ref="B642:B644"/>
    <mergeCell ref="C642:C644"/>
    <mergeCell ref="A645:A648"/>
    <mergeCell ref="B645:B648"/>
    <mergeCell ref="C645:C648"/>
    <mergeCell ref="A649:A652"/>
    <mergeCell ref="B663:B665"/>
    <mergeCell ref="C663:C665"/>
    <mergeCell ref="A653:A657"/>
    <mergeCell ref="B653:B657"/>
    <mergeCell ref="C653:C657"/>
    <mergeCell ref="A658:A662"/>
    <mergeCell ref="B658:B662"/>
    <mergeCell ref="C658:C662"/>
    <mergeCell ref="A663:A665"/>
    <mergeCell ref="B673:B677"/>
    <mergeCell ref="C673:C677"/>
    <mergeCell ref="A666:A668"/>
    <mergeCell ref="B666:B668"/>
    <mergeCell ref="C666:C668"/>
    <mergeCell ref="A669:A672"/>
    <mergeCell ref="B669:B672"/>
    <mergeCell ref="C669:C672"/>
    <mergeCell ref="A673:A677"/>
    <mergeCell ref="B690:B694"/>
    <mergeCell ref="C690:C694"/>
    <mergeCell ref="A678:A682"/>
    <mergeCell ref="B678:B682"/>
    <mergeCell ref="C678:C682"/>
    <mergeCell ref="A683:A689"/>
    <mergeCell ref="B683:B689"/>
    <mergeCell ref="C683:C689"/>
    <mergeCell ref="A690:A694"/>
    <mergeCell ref="B702:B707"/>
    <mergeCell ref="C702:C707"/>
    <mergeCell ref="A695:A697"/>
    <mergeCell ref="B695:B697"/>
    <mergeCell ref="C695:C697"/>
    <mergeCell ref="A698:A701"/>
    <mergeCell ref="B698:B701"/>
    <mergeCell ref="C698:C701"/>
    <mergeCell ref="A702:A707"/>
    <mergeCell ref="B715:B720"/>
    <mergeCell ref="C715:C720"/>
    <mergeCell ref="A708:A711"/>
    <mergeCell ref="B708:B711"/>
    <mergeCell ref="C708:C711"/>
    <mergeCell ref="A712:A714"/>
    <mergeCell ref="B712:B714"/>
    <mergeCell ref="C712:C714"/>
    <mergeCell ref="A715:A720"/>
    <mergeCell ref="B730:B734"/>
    <mergeCell ref="C730:C734"/>
    <mergeCell ref="A721:A725"/>
    <mergeCell ref="B721:B725"/>
    <mergeCell ref="C721:C725"/>
    <mergeCell ref="A726:A729"/>
    <mergeCell ref="B726:B729"/>
    <mergeCell ref="C726:C729"/>
    <mergeCell ref="A730:A734"/>
    <mergeCell ref="B743:B746"/>
    <mergeCell ref="C743:C746"/>
    <mergeCell ref="F816:G819"/>
    <mergeCell ref="F820:G822"/>
    <mergeCell ref="A735:A739"/>
    <mergeCell ref="B735:B739"/>
    <mergeCell ref="C735:C739"/>
    <mergeCell ref="A740:A742"/>
    <mergeCell ref="B740:B742"/>
    <mergeCell ref="C740:C742"/>
    <mergeCell ref="A743:A746"/>
    <mergeCell ref="B364:B370"/>
    <mergeCell ref="C364:C370"/>
    <mergeCell ref="A352:A357"/>
    <mergeCell ref="B352:B357"/>
    <mergeCell ref="C352:C357"/>
    <mergeCell ref="A358:A363"/>
    <mergeCell ref="B358:B363"/>
    <mergeCell ref="C358:C363"/>
    <mergeCell ref="A364:A370"/>
    <mergeCell ref="B758:B764"/>
    <mergeCell ref="C758:C764"/>
    <mergeCell ref="A747:A751"/>
    <mergeCell ref="B747:B751"/>
    <mergeCell ref="C747:C751"/>
    <mergeCell ref="A752:A757"/>
    <mergeCell ref="B752:B757"/>
    <mergeCell ref="C752:C757"/>
    <mergeCell ref="A758:A764"/>
    <mergeCell ref="B773:B776"/>
    <mergeCell ref="C773:C776"/>
    <mergeCell ref="A765:A768"/>
    <mergeCell ref="B765:B768"/>
    <mergeCell ref="C765:C768"/>
    <mergeCell ref="A769:A772"/>
    <mergeCell ref="B769:B772"/>
    <mergeCell ref="C769:C772"/>
    <mergeCell ref="A773:A776"/>
    <mergeCell ref="B786:B790"/>
    <mergeCell ref="C786:C790"/>
    <mergeCell ref="A777:A780"/>
    <mergeCell ref="B777:B780"/>
    <mergeCell ref="C777:C780"/>
    <mergeCell ref="A781:A785"/>
    <mergeCell ref="B781:B785"/>
    <mergeCell ref="C781:C785"/>
    <mergeCell ref="A786:A790"/>
    <mergeCell ref="B800:B803"/>
    <mergeCell ref="C800:C803"/>
    <mergeCell ref="A791:A795"/>
    <mergeCell ref="B791:B795"/>
    <mergeCell ref="C791:C795"/>
    <mergeCell ref="A796:A798"/>
    <mergeCell ref="B796:B798"/>
    <mergeCell ref="C796:C798"/>
    <mergeCell ref="A800:A803"/>
    <mergeCell ref="B810:B812"/>
    <mergeCell ref="C810:C812"/>
    <mergeCell ref="A804:A806"/>
    <mergeCell ref="B804:B806"/>
    <mergeCell ref="C804:C806"/>
    <mergeCell ref="A807:A809"/>
    <mergeCell ref="B807:B809"/>
    <mergeCell ref="C807:C809"/>
    <mergeCell ref="A810:A812"/>
    <mergeCell ref="B80:B85"/>
    <mergeCell ref="C80:C85"/>
    <mergeCell ref="A65:A72"/>
    <mergeCell ref="B65:B72"/>
    <mergeCell ref="C65:C72"/>
    <mergeCell ref="A73:A79"/>
    <mergeCell ref="B73:B79"/>
    <mergeCell ref="C73:C79"/>
    <mergeCell ref="A80:A85"/>
    <mergeCell ref="B98:B103"/>
    <mergeCell ref="C98:C103"/>
    <mergeCell ref="A86:A91"/>
    <mergeCell ref="B86:B91"/>
    <mergeCell ref="C86:C91"/>
    <mergeCell ref="A92:A97"/>
    <mergeCell ref="B92:B97"/>
    <mergeCell ref="C92:C97"/>
    <mergeCell ref="A98:A103"/>
    <mergeCell ref="B114:B120"/>
    <mergeCell ref="C114:C120"/>
    <mergeCell ref="A104:A109"/>
    <mergeCell ref="B104:B109"/>
    <mergeCell ref="C104:C109"/>
    <mergeCell ref="A110:A113"/>
    <mergeCell ref="B110:B113"/>
    <mergeCell ref="C110:C113"/>
    <mergeCell ref="A114:A120"/>
    <mergeCell ref="A813:A815"/>
    <mergeCell ref="B813:B815"/>
    <mergeCell ref="C813:C815"/>
    <mergeCell ref="A816:A822"/>
    <mergeCell ref="B816:B822"/>
    <mergeCell ref="C816:C819"/>
    <mergeCell ref="C820:C822"/>
  </mergeCells>
  <conditionalFormatting sqref="C2:C63 C65:C300 C305 C310 C315 C320 C326 C333 C340 C346 C352 C358 C364 C371 C377 C383 C389 C395 C400 C405 C410 C415:C894 C898 C903 C906 C909 C913:C1119 C1122:C1223">
    <cfRule type="colorScale" priority="1">
      <colorScale>
        <cfvo type="formula" val="6"/>
        <cfvo type="formula" val="10"/>
        <cfvo type="formula" val="15"/>
        <color rgb="FF93C47D"/>
        <color rgb="FFFFFF00"/>
        <color rgb="FFCC0000"/>
      </colorScale>
    </cfRule>
  </conditionalFormatting>
  <conditionalFormatting sqref="D1:G23 H1:H858 I1:I2040 D25:G63 D65:G858 D860:G911 H860:H2040 D913:G2040">
    <cfRule type="expression" dxfId="0" priority="2">
      <formula>$I1="Arms &amp; Arm Attachments"</formula>
    </cfRule>
  </conditionalFormatting>
  <conditionalFormatting sqref="D1:G23 H1:H858 I1:I2040 D25:G63 D65:G858 D860:G911 H860:H2040 D913:G2040">
    <cfRule type="expression" dxfId="1" priority="3">
      <formula>$I1="Auditory System"</formula>
    </cfRule>
  </conditionalFormatting>
  <conditionalFormatting sqref="D1:G23 H1:H858 I1:I2040 D25:G63 D65:G858 D860:G911 H860:H2040 D913:G2040">
    <cfRule type="expression" dxfId="2" priority="4">
      <formula>$I1="Circulatory &amp; Immune Systems"</formula>
    </cfRule>
  </conditionalFormatting>
  <conditionalFormatting sqref="D1:G23 H1:H858 I1:I2040 D25:G63 D65:G858 D860:G911 H860:H2040 D913:G2040">
    <cfRule type="expression" dxfId="3" priority="5">
      <formula>$I1="Hands &amp; Feet"</formula>
    </cfRule>
  </conditionalFormatting>
  <conditionalFormatting sqref="D1:G23 H1:H858 I1:I2040 D25:G63 D65:G858 D860:G911 H860:H2040 D913:G2040">
    <cfRule type="expression" dxfId="4" priority="6">
      <formula>$I1="Integumentary System"</formula>
    </cfRule>
  </conditionalFormatting>
  <conditionalFormatting sqref="D1:G23 H1:H858 I1:I2040 D25:G63 D65:G858 D860:G911 H860:H2040 D913:G2040">
    <cfRule type="expression" dxfId="5" priority="7">
      <formula>$I1="Legs &amp; Mobility"</formula>
    </cfRule>
  </conditionalFormatting>
  <conditionalFormatting sqref="D1:G23 H1:H858 I1:I2040 D25:G63 D65:G858 D860:G911 H860:H2040 D913:G2040">
    <cfRule type="expression" dxfId="6" priority="8">
      <formula>$I1="Neural"</formula>
    </cfRule>
  </conditionalFormatting>
  <conditionalFormatting sqref="D1:G23 H1:H858 I1:I2040 D25:G63 D65:G858 D860:G911 H860:H2040 D913:G2040">
    <cfRule type="expression" dxfId="7" priority="9">
      <formula>$I1="Universal Muscular (Arms/Legs/Tail)"</formula>
    </cfRule>
  </conditionalFormatting>
  <conditionalFormatting sqref="D1:G23 H1:H858 I1:I2040 D25:G63 D65:G858 D860:G911 H860:H2040 D913:G2040">
    <cfRule type="expression" dxfId="8" priority="10">
      <formula>$I1="Ocular System"</formula>
    </cfRule>
  </conditionalFormatting>
  <conditionalFormatting sqref="D1:G23 H1:H858 I1:I2040 D25:G63 D65:G858 D860:G911 H860:H2040 D913:G2040">
    <cfRule type="expression" dxfId="9" priority="11">
      <formula>$I1="Miscellaneous"</formula>
    </cfRule>
  </conditionalFormatting>
  <conditionalFormatting sqref="D1:G23 H1:H858 I1:I2040 D25:G63 D65:G858 D860:G911 H860:H2040 D913:G2040">
    <cfRule type="expression" dxfId="10" priority="12">
      <formula>$I1="Skeleton &amp; Torso Musculature"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13"/>
    <col customWidth="1" min="2" max="2" width="38.38"/>
    <col customWidth="1" min="3" max="3" width="10.13"/>
    <col customWidth="1" min="4" max="4" width="42.13"/>
    <col customWidth="1" min="5" max="5" width="8.5"/>
    <col customWidth="1" min="6" max="6" width="19.88"/>
    <col customWidth="1" min="7" max="7" width="23.5"/>
    <col customWidth="1" min="8" max="8" width="154.63"/>
    <col customWidth="1" min="9" max="9" width="30.38"/>
  </cols>
  <sheetData>
    <row r="1">
      <c r="A1" s="234" t="s">
        <v>264</v>
      </c>
      <c r="B1" s="234" t="s">
        <v>265</v>
      </c>
      <c r="C1" s="234" t="s">
        <v>266</v>
      </c>
      <c r="D1" s="235" t="s">
        <v>267</v>
      </c>
      <c r="E1" s="235" t="s">
        <v>1</v>
      </c>
      <c r="F1" s="234" t="s">
        <v>268</v>
      </c>
      <c r="G1" s="234" t="s">
        <v>269</v>
      </c>
      <c r="H1" s="236" t="s">
        <v>270</v>
      </c>
      <c r="I1" s="237" t="s">
        <v>955</v>
      </c>
      <c r="J1" s="234" t="s">
        <v>271</v>
      </c>
      <c r="K1" s="238"/>
      <c r="L1" s="238"/>
      <c r="M1" s="239"/>
      <c r="N1" s="239"/>
      <c r="O1" s="239"/>
      <c r="P1" s="239"/>
      <c r="Q1" s="239"/>
      <c r="R1" s="239"/>
      <c r="S1" s="239"/>
      <c r="T1" s="239"/>
      <c r="U1" s="239"/>
      <c r="V1" s="239"/>
      <c r="W1" s="239"/>
      <c r="X1" s="239"/>
      <c r="Y1" s="239"/>
      <c r="Z1" s="239"/>
      <c r="AA1" s="239"/>
      <c r="AB1" s="239"/>
      <c r="AC1" s="239"/>
    </row>
    <row r="2">
      <c r="A2" s="302" t="s">
        <v>956</v>
      </c>
      <c r="B2" s="262" t="s">
        <v>957</v>
      </c>
      <c r="C2" s="282">
        <f>sum(E2:E11)</f>
        <v>22</v>
      </c>
      <c r="D2" s="761" t="s">
        <v>331</v>
      </c>
      <c r="E2" s="264">
        <v>2.0</v>
      </c>
      <c r="F2" s="330"/>
      <c r="G2" s="305"/>
      <c r="H2" s="285" t="s">
        <v>332</v>
      </c>
      <c r="I2" s="762" t="s">
        <v>8</v>
      </c>
      <c r="K2" s="247"/>
      <c r="L2" s="247"/>
    </row>
    <row r="3">
      <c r="A3" s="248"/>
      <c r="D3" s="251" t="s">
        <v>406</v>
      </c>
      <c r="E3" s="251">
        <v>3.0</v>
      </c>
      <c r="F3" s="252"/>
      <c r="G3" s="253"/>
      <c r="H3" s="254" t="s">
        <v>32</v>
      </c>
      <c r="I3" s="336" t="s">
        <v>31</v>
      </c>
      <c r="K3" s="247"/>
      <c r="L3" s="247"/>
    </row>
    <row r="4">
      <c r="A4" s="248"/>
      <c r="D4" s="763" t="s">
        <v>62</v>
      </c>
      <c r="E4" s="763">
        <v>1.0</v>
      </c>
      <c r="F4" s="274"/>
      <c r="G4" s="274"/>
      <c r="H4" s="275" t="s">
        <v>63</v>
      </c>
      <c r="I4" s="764" t="s">
        <v>44</v>
      </c>
      <c r="K4" s="247"/>
      <c r="L4" s="247"/>
    </row>
    <row r="5">
      <c r="A5" s="248"/>
      <c r="D5" s="688" t="s">
        <v>958</v>
      </c>
      <c r="E5" s="251">
        <v>3.0</v>
      </c>
      <c r="F5" s="257"/>
      <c r="G5" s="258"/>
      <c r="H5" s="254" t="s">
        <v>959</v>
      </c>
      <c r="I5" s="764" t="s">
        <v>66</v>
      </c>
      <c r="K5" s="247"/>
      <c r="L5" s="247"/>
    </row>
    <row r="6">
      <c r="A6" s="248"/>
      <c r="D6" s="765" t="s">
        <v>102</v>
      </c>
      <c r="E6" s="766">
        <v>2.0</v>
      </c>
      <c r="F6" s="323"/>
      <c r="G6" s="324"/>
      <c r="H6" s="324" t="s">
        <v>103</v>
      </c>
      <c r="I6" s="767" t="s">
        <v>99</v>
      </c>
      <c r="K6" s="247"/>
      <c r="L6" s="247"/>
    </row>
    <row r="7">
      <c r="A7" s="248"/>
      <c r="D7" s="251" t="s">
        <v>154</v>
      </c>
      <c r="E7" s="251">
        <v>2.0</v>
      </c>
      <c r="F7" s="256"/>
      <c r="G7" s="253"/>
      <c r="H7" s="254" t="s">
        <v>155</v>
      </c>
      <c r="I7" s="287" t="s">
        <v>145</v>
      </c>
      <c r="K7" s="247"/>
      <c r="L7" s="247"/>
    </row>
    <row r="8">
      <c r="A8" s="248"/>
      <c r="D8" s="446" t="s">
        <v>163</v>
      </c>
      <c r="E8" s="251">
        <v>2.0</v>
      </c>
      <c r="F8" s="256"/>
      <c r="G8" s="253"/>
      <c r="H8" s="254" t="s">
        <v>165</v>
      </c>
      <c r="I8" s="764" t="s">
        <v>164</v>
      </c>
      <c r="K8" s="247"/>
      <c r="L8" s="247"/>
    </row>
    <row r="9">
      <c r="A9" s="248"/>
      <c r="D9" s="768" t="s">
        <v>180</v>
      </c>
      <c r="E9" s="769">
        <v>3.0</v>
      </c>
      <c r="F9" s="172"/>
      <c r="G9" s="173"/>
      <c r="H9" s="250" t="s">
        <v>181</v>
      </c>
      <c r="I9" s="770" t="s">
        <v>177</v>
      </c>
      <c r="K9" s="247"/>
      <c r="L9" s="247"/>
    </row>
    <row r="10">
      <c r="A10" s="248"/>
      <c r="D10" s="251" t="s">
        <v>960</v>
      </c>
      <c r="E10" s="251">
        <v>3.0</v>
      </c>
      <c r="F10" s="257"/>
      <c r="G10" s="258"/>
      <c r="H10" s="254" t="s">
        <v>961</v>
      </c>
      <c r="I10" s="764" t="s">
        <v>106</v>
      </c>
      <c r="K10" s="247"/>
      <c r="L10" s="247"/>
    </row>
    <row r="11">
      <c r="A11" s="259"/>
      <c r="B11" s="260"/>
      <c r="C11" s="260"/>
      <c r="D11" s="251" t="s">
        <v>962</v>
      </c>
      <c r="E11" s="251">
        <v>1.0</v>
      </c>
      <c r="F11" s="257"/>
      <c r="G11" s="258"/>
      <c r="H11" s="254" t="s">
        <v>116</v>
      </c>
      <c r="I11" s="764" t="s">
        <v>106</v>
      </c>
      <c r="K11" s="247"/>
      <c r="L11" s="247"/>
    </row>
    <row r="12">
      <c r="A12" s="637" t="s">
        <v>963</v>
      </c>
      <c r="B12" s="715" t="s">
        <v>964</v>
      </c>
      <c r="C12" s="771">
        <v>15.0</v>
      </c>
      <c r="D12" s="772" t="s">
        <v>965</v>
      </c>
      <c r="E12" s="640">
        <v>15.0</v>
      </c>
      <c r="F12" s="641"/>
      <c r="G12" s="642"/>
      <c r="H12" s="727"/>
      <c r="I12" s="773" t="s">
        <v>106</v>
      </c>
      <c r="K12" s="247"/>
      <c r="L12" s="247"/>
    </row>
    <row r="13">
      <c r="A13" s="240" t="s">
        <v>966</v>
      </c>
      <c r="B13" s="327" t="s">
        <v>967</v>
      </c>
      <c r="C13" s="282">
        <f>sum(E13:E19)</f>
        <v>15</v>
      </c>
      <c r="D13" s="264" t="s">
        <v>968</v>
      </c>
      <c r="E13" s="251">
        <v>0.0</v>
      </c>
      <c r="F13" s="252"/>
      <c r="G13" s="253"/>
      <c r="H13" s="294" t="s">
        <v>969</v>
      </c>
      <c r="I13" s="764" t="s">
        <v>8</v>
      </c>
      <c r="K13" s="247"/>
      <c r="L13" s="247"/>
    </row>
    <row r="14">
      <c r="A14" s="248"/>
      <c r="D14" s="251" t="s">
        <v>144</v>
      </c>
      <c r="E14" s="251">
        <v>5.0</v>
      </c>
      <c r="F14" s="306"/>
      <c r="G14" s="306"/>
      <c r="H14" s="293" t="s">
        <v>146</v>
      </c>
      <c r="I14" s="774" t="s">
        <v>145</v>
      </c>
      <c r="K14" s="247"/>
      <c r="L14" s="247"/>
    </row>
    <row r="15">
      <c r="A15" s="248"/>
      <c r="D15" s="251" t="s">
        <v>23</v>
      </c>
      <c r="E15" s="251">
        <v>1.0</v>
      </c>
      <c r="F15" s="256"/>
      <c r="G15" s="253"/>
      <c r="H15" s="254" t="s">
        <v>308</v>
      </c>
      <c r="I15" s="764" t="s">
        <v>24</v>
      </c>
      <c r="K15" s="247"/>
      <c r="L15" s="247"/>
    </row>
    <row r="16">
      <c r="A16" s="248"/>
      <c r="D16" s="251" t="s">
        <v>163</v>
      </c>
      <c r="E16" s="251">
        <v>2.0</v>
      </c>
      <c r="F16" s="256"/>
      <c r="G16" s="253"/>
      <c r="H16" s="254" t="s">
        <v>165</v>
      </c>
      <c r="I16" s="764" t="s">
        <v>164</v>
      </c>
      <c r="K16" s="247"/>
      <c r="L16" s="247"/>
    </row>
    <row r="17">
      <c r="A17" s="248"/>
      <c r="D17" s="526" t="s">
        <v>80</v>
      </c>
      <c r="E17" s="775">
        <v>2.0</v>
      </c>
      <c r="F17" s="70"/>
      <c r="G17" s="72"/>
      <c r="H17" s="776" t="s">
        <v>81</v>
      </c>
      <c r="I17" s="777" t="s">
        <v>66</v>
      </c>
      <c r="K17" s="247"/>
      <c r="L17" s="247"/>
    </row>
    <row r="18">
      <c r="A18" s="248"/>
      <c r="D18" s="251" t="s">
        <v>285</v>
      </c>
      <c r="E18" s="251">
        <v>2.0</v>
      </c>
      <c r="F18" s="257"/>
      <c r="G18" s="258"/>
      <c r="H18" s="254" t="s">
        <v>116</v>
      </c>
      <c r="I18" s="764" t="s">
        <v>106</v>
      </c>
      <c r="K18" s="247"/>
      <c r="L18" s="247"/>
    </row>
    <row r="19">
      <c r="A19" s="259"/>
      <c r="B19" s="260"/>
      <c r="C19" s="260"/>
      <c r="D19" s="277" t="s">
        <v>970</v>
      </c>
      <c r="E19" s="277">
        <v>3.0</v>
      </c>
      <c r="F19" s="315"/>
      <c r="G19" s="316"/>
      <c r="H19" s="466" t="s">
        <v>971</v>
      </c>
      <c r="I19" s="778" t="s">
        <v>106</v>
      </c>
      <c r="K19" s="247"/>
      <c r="L19" s="247"/>
    </row>
    <row r="20">
      <c r="A20" s="261" t="s">
        <v>972</v>
      </c>
      <c r="B20" s="262" t="s">
        <v>973</v>
      </c>
      <c r="C20" s="282">
        <f>sum(E20:E25)</f>
        <v>15</v>
      </c>
      <c r="D20" s="304" t="s">
        <v>974</v>
      </c>
      <c r="E20" s="304">
        <v>1.0</v>
      </c>
      <c r="F20" s="330"/>
      <c r="G20" s="305"/>
      <c r="H20" s="285" t="s">
        <v>975</v>
      </c>
      <c r="I20" s="779" t="s">
        <v>31</v>
      </c>
      <c r="K20" s="247"/>
      <c r="L20" s="247"/>
    </row>
    <row r="21">
      <c r="A21" s="248"/>
      <c r="D21" s="251" t="s">
        <v>976</v>
      </c>
      <c r="E21" s="251">
        <v>5.0</v>
      </c>
      <c r="F21" s="306"/>
      <c r="G21" s="306"/>
      <c r="H21" s="293" t="s">
        <v>146</v>
      </c>
      <c r="I21" s="774" t="s">
        <v>145</v>
      </c>
      <c r="K21" s="247"/>
      <c r="L21" s="247"/>
    </row>
    <row r="22">
      <c r="A22" s="248"/>
      <c r="D22" s="357" t="s">
        <v>977</v>
      </c>
      <c r="E22" s="357">
        <v>3.0</v>
      </c>
      <c r="F22" s="252"/>
      <c r="G22" s="253"/>
      <c r="H22" s="780" t="s">
        <v>978</v>
      </c>
      <c r="I22" s="774" t="s">
        <v>145</v>
      </c>
      <c r="K22" s="247"/>
      <c r="L22" s="247"/>
    </row>
    <row r="23">
      <c r="A23" s="248"/>
      <c r="D23" s="446" t="s">
        <v>163</v>
      </c>
      <c r="E23" s="251">
        <v>2.0</v>
      </c>
      <c r="F23" s="256"/>
      <c r="G23" s="253"/>
      <c r="H23" s="254" t="s">
        <v>165</v>
      </c>
      <c r="I23" s="764" t="s">
        <v>164</v>
      </c>
      <c r="K23" s="247"/>
      <c r="L23" s="247"/>
    </row>
    <row r="24">
      <c r="A24" s="248"/>
      <c r="D24" s="251" t="s">
        <v>121</v>
      </c>
      <c r="E24" s="251">
        <v>1.0</v>
      </c>
      <c r="F24" s="364"/>
      <c r="G24" s="364"/>
      <c r="H24" s="293" t="s">
        <v>328</v>
      </c>
      <c r="I24" s="764" t="s">
        <v>106</v>
      </c>
      <c r="K24" s="247"/>
      <c r="L24" s="247"/>
    </row>
    <row r="25">
      <c r="A25" s="259"/>
      <c r="B25" s="260"/>
      <c r="C25" s="260"/>
      <c r="D25" s="357" t="s">
        <v>979</v>
      </c>
      <c r="E25" s="357">
        <v>3.0</v>
      </c>
      <c r="F25" s="252"/>
      <c r="G25" s="253"/>
      <c r="H25" s="254" t="s">
        <v>980</v>
      </c>
      <c r="I25" s="764" t="s">
        <v>106</v>
      </c>
      <c r="K25" s="247"/>
      <c r="L25" s="247"/>
    </row>
    <row r="26">
      <c r="A26" s="328" t="s">
        <v>981</v>
      </c>
      <c r="B26" s="262" t="s">
        <v>982</v>
      </c>
      <c r="C26" s="282">
        <f>sum(E26)</f>
        <v>15</v>
      </c>
      <c r="D26" s="781" t="s">
        <v>983</v>
      </c>
      <c r="E26" s="264">
        <v>15.0</v>
      </c>
      <c r="F26" s="330"/>
      <c r="G26" s="305"/>
      <c r="H26" s="285" t="s">
        <v>984</v>
      </c>
      <c r="I26" s="762" t="s">
        <v>106</v>
      </c>
      <c r="K26" s="247"/>
      <c r="L26" s="247"/>
    </row>
    <row r="27">
      <c r="A27" s="248"/>
      <c r="D27" s="356" t="s">
        <v>985</v>
      </c>
      <c r="F27" s="252"/>
      <c r="G27" s="253"/>
      <c r="H27" s="254" t="s">
        <v>986</v>
      </c>
      <c r="I27" s="764" t="s">
        <v>106</v>
      </c>
      <c r="K27" s="247"/>
      <c r="L27" s="247"/>
    </row>
    <row r="28">
      <c r="A28" s="248"/>
      <c r="D28" s="356" t="s">
        <v>987</v>
      </c>
      <c r="F28" s="252"/>
      <c r="G28" s="253"/>
      <c r="H28" s="254" t="s">
        <v>988</v>
      </c>
      <c r="I28" s="764" t="s">
        <v>106</v>
      </c>
      <c r="K28" s="247"/>
      <c r="L28" s="247"/>
    </row>
    <row r="29">
      <c r="A29" s="259"/>
      <c r="B29" s="260"/>
      <c r="C29" s="260"/>
      <c r="D29" s="782" t="s">
        <v>989</v>
      </c>
      <c r="E29" s="260"/>
      <c r="F29" s="315"/>
      <c r="G29" s="316"/>
      <c r="H29" s="280" t="s">
        <v>990</v>
      </c>
      <c r="I29" s="778" t="s">
        <v>106</v>
      </c>
      <c r="K29" s="247"/>
      <c r="L29" s="247"/>
    </row>
    <row r="30">
      <c r="A30" s="413" t="s">
        <v>991</v>
      </c>
      <c r="B30" s="303" t="s">
        <v>528</v>
      </c>
      <c r="C30" s="783">
        <f>sum(E30:E36)</f>
        <v>15</v>
      </c>
      <c r="D30" s="304" t="s">
        <v>176</v>
      </c>
      <c r="E30" s="304">
        <v>4.0</v>
      </c>
      <c r="F30" s="305"/>
      <c r="G30" s="305"/>
      <c r="H30" s="285" t="s">
        <v>290</v>
      </c>
      <c r="I30" s="762" t="s">
        <v>177</v>
      </c>
      <c r="K30" s="247"/>
      <c r="L30" s="247"/>
    </row>
    <row r="31">
      <c r="A31" s="248"/>
      <c r="D31" s="784" t="s">
        <v>186</v>
      </c>
      <c r="E31" s="785">
        <v>1.0</v>
      </c>
      <c r="F31" s="3"/>
      <c r="G31" s="378"/>
      <c r="H31" s="379" t="s">
        <v>188</v>
      </c>
      <c r="I31" s="786" t="s">
        <v>187</v>
      </c>
      <c r="K31" s="247"/>
      <c r="L31" s="247"/>
    </row>
    <row r="32">
      <c r="A32" s="248"/>
      <c r="D32" s="361" t="s">
        <v>124</v>
      </c>
      <c r="E32" s="362">
        <v>1.0</v>
      </c>
      <c r="F32" s="105"/>
      <c r="G32" s="114"/>
      <c r="H32" s="114" t="s">
        <v>125</v>
      </c>
      <c r="I32" s="255" t="s">
        <v>106</v>
      </c>
      <c r="K32" s="247"/>
      <c r="L32" s="247"/>
    </row>
    <row r="33">
      <c r="A33" s="248"/>
      <c r="D33" s="251" t="s">
        <v>121</v>
      </c>
      <c r="E33" s="251">
        <v>1.0</v>
      </c>
      <c r="F33" s="364"/>
      <c r="G33" s="364"/>
      <c r="H33" s="293" t="s">
        <v>328</v>
      </c>
      <c r="I33" s="764" t="s">
        <v>106</v>
      </c>
      <c r="K33" s="247"/>
      <c r="L33" s="247"/>
    </row>
    <row r="34">
      <c r="A34" s="248"/>
      <c r="D34" s="446" t="s">
        <v>23</v>
      </c>
      <c r="E34" s="251">
        <v>2.0</v>
      </c>
      <c r="F34" s="351"/>
      <c r="G34" s="352"/>
      <c r="H34" s="293" t="s">
        <v>308</v>
      </c>
      <c r="I34" s="764" t="s">
        <v>24</v>
      </c>
      <c r="K34" s="247"/>
      <c r="L34" s="247"/>
    </row>
    <row r="35">
      <c r="A35" s="248"/>
      <c r="D35" s="251" t="s">
        <v>406</v>
      </c>
      <c r="E35" s="251">
        <v>3.0</v>
      </c>
      <c r="F35" s="252"/>
      <c r="G35" s="253"/>
      <c r="H35" s="254" t="s">
        <v>32</v>
      </c>
      <c r="I35" s="336" t="s">
        <v>31</v>
      </c>
      <c r="K35" s="247"/>
      <c r="L35" s="247"/>
    </row>
    <row r="36">
      <c r="A36" s="259"/>
      <c r="B36" s="260"/>
      <c r="C36" s="260"/>
      <c r="D36" s="627" t="s">
        <v>65</v>
      </c>
      <c r="E36" s="627">
        <v>3.0</v>
      </c>
      <c r="F36" s="787"/>
      <c r="G36" s="629"/>
      <c r="H36" s="629" t="s">
        <v>284</v>
      </c>
      <c r="I36" s="630" t="s">
        <v>66</v>
      </c>
      <c r="K36" s="247"/>
      <c r="L36" s="247"/>
    </row>
    <row r="37">
      <c r="A37" s="261" t="s">
        <v>992</v>
      </c>
      <c r="B37" s="262" t="s">
        <v>496</v>
      </c>
      <c r="C37" s="282">
        <f>sum(E37:E42)</f>
        <v>14</v>
      </c>
      <c r="D37" s="304" t="s">
        <v>993</v>
      </c>
      <c r="E37" s="304">
        <v>2.0</v>
      </c>
      <c r="F37" s="330"/>
      <c r="G37" s="305"/>
      <c r="H37" s="285" t="s">
        <v>994</v>
      </c>
      <c r="I37" s="788" t="s">
        <v>8</v>
      </c>
      <c r="K37" s="247"/>
      <c r="L37" s="247"/>
    </row>
    <row r="38">
      <c r="A38" s="248"/>
      <c r="D38" s="446" t="s">
        <v>163</v>
      </c>
      <c r="E38" s="251">
        <v>2.0</v>
      </c>
      <c r="F38" s="256"/>
      <c r="G38" s="253"/>
      <c r="H38" s="254" t="s">
        <v>165</v>
      </c>
      <c r="I38" s="764" t="s">
        <v>164</v>
      </c>
      <c r="K38" s="247"/>
      <c r="L38" s="247"/>
    </row>
    <row r="39">
      <c r="A39" s="248"/>
      <c r="D39" s="429" t="s">
        <v>65</v>
      </c>
      <c r="E39" s="429">
        <v>3.0</v>
      </c>
      <c r="F39" s="789"/>
      <c r="G39" s="431"/>
      <c r="H39" s="431" t="s">
        <v>284</v>
      </c>
      <c r="I39" s="432" t="s">
        <v>66</v>
      </c>
      <c r="K39" s="247"/>
      <c r="L39" s="247"/>
    </row>
    <row r="40">
      <c r="A40" s="248"/>
      <c r="D40" s="357" t="s">
        <v>995</v>
      </c>
      <c r="E40" s="357">
        <v>2.0</v>
      </c>
      <c r="F40" s="252"/>
      <c r="G40" s="253"/>
      <c r="H40" s="254" t="s">
        <v>996</v>
      </c>
      <c r="I40" s="790" t="s">
        <v>145</v>
      </c>
      <c r="K40" s="247"/>
      <c r="L40" s="247"/>
    </row>
    <row r="41">
      <c r="A41" s="248"/>
      <c r="D41" s="357" t="s">
        <v>176</v>
      </c>
      <c r="E41" s="357">
        <v>3.0</v>
      </c>
      <c r="F41" s="253"/>
      <c r="G41" s="253"/>
      <c r="H41" s="254" t="s">
        <v>290</v>
      </c>
      <c r="I41" s="764" t="s">
        <v>177</v>
      </c>
      <c r="K41" s="247"/>
      <c r="L41" s="247"/>
    </row>
    <row r="42">
      <c r="A42" s="259"/>
      <c r="B42" s="260"/>
      <c r="C42" s="260"/>
      <c r="D42" s="314" t="s">
        <v>997</v>
      </c>
      <c r="E42" s="314">
        <v>2.0</v>
      </c>
      <c r="F42" s="315"/>
      <c r="G42" s="316"/>
      <c r="H42" s="280" t="s">
        <v>998</v>
      </c>
      <c r="I42" s="791" t="s">
        <v>106</v>
      </c>
      <c r="K42" s="247"/>
      <c r="L42" s="247"/>
    </row>
    <row r="43">
      <c r="A43" s="653" t="s">
        <v>999</v>
      </c>
      <c r="B43" s="327" t="s">
        <v>368</v>
      </c>
      <c r="C43" s="242">
        <f>sum(E43:E49)</f>
        <v>13</v>
      </c>
      <c r="D43" s="765" t="s">
        <v>102</v>
      </c>
      <c r="E43" s="766">
        <v>2.0</v>
      </c>
      <c r="F43" s="323"/>
      <c r="G43" s="324"/>
      <c r="H43" s="324" t="s">
        <v>103</v>
      </c>
      <c r="I43" s="767" t="s">
        <v>99</v>
      </c>
      <c r="K43" s="247"/>
      <c r="L43" s="247"/>
    </row>
    <row r="44">
      <c r="A44" s="248"/>
      <c r="D44" s="446" t="s">
        <v>163</v>
      </c>
      <c r="E44" s="251">
        <v>2.0</v>
      </c>
      <c r="F44" s="256"/>
      <c r="G44" s="253"/>
      <c r="H44" s="254" t="s">
        <v>165</v>
      </c>
      <c r="I44" s="764" t="s">
        <v>164</v>
      </c>
      <c r="K44" s="247"/>
      <c r="L44" s="247"/>
    </row>
    <row r="45">
      <c r="A45" s="248"/>
      <c r="D45" s="768" t="s">
        <v>183</v>
      </c>
      <c r="E45" s="769">
        <v>2.0</v>
      </c>
      <c r="F45" s="172"/>
      <c r="G45" s="173"/>
      <c r="H45" s="173" t="s">
        <v>184</v>
      </c>
      <c r="I45" s="770" t="s">
        <v>177</v>
      </c>
      <c r="K45" s="247"/>
      <c r="L45" s="247"/>
    </row>
    <row r="46">
      <c r="A46" s="248"/>
      <c r="D46" s="784" t="s">
        <v>186</v>
      </c>
      <c r="E46" s="785">
        <v>1.0</v>
      </c>
      <c r="F46" s="3"/>
      <c r="G46" s="378"/>
      <c r="H46" s="379" t="s">
        <v>188</v>
      </c>
      <c r="I46" s="786" t="s">
        <v>187</v>
      </c>
      <c r="K46" s="247"/>
      <c r="L46" s="247"/>
    </row>
    <row r="47">
      <c r="A47" s="248"/>
      <c r="D47" s="251" t="s">
        <v>65</v>
      </c>
      <c r="E47" s="251">
        <v>3.0</v>
      </c>
      <c r="F47" s="257"/>
      <c r="G47" s="258"/>
      <c r="H47" s="254" t="s">
        <v>284</v>
      </c>
      <c r="I47" s="764" t="s">
        <v>66</v>
      </c>
      <c r="K47" s="247"/>
      <c r="L47" s="247"/>
    </row>
    <row r="48">
      <c r="A48" s="248"/>
      <c r="D48" s="446" t="s">
        <v>23</v>
      </c>
      <c r="E48" s="251">
        <v>1.0</v>
      </c>
      <c r="F48" s="256"/>
      <c r="G48" s="253"/>
      <c r="H48" s="254" t="s">
        <v>308</v>
      </c>
      <c r="I48" s="764" t="s">
        <v>24</v>
      </c>
      <c r="K48" s="247"/>
      <c r="L48" s="247"/>
    </row>
    <row r="49">
      <c r="A49" s="259"/>
      <c r="B49" s="260"/>
      <c r="C49" s="260"/>
      <c r="D49" s="792" t="s">
        <v>331</v>
      </c>
      <c r="E49" s="277">
        <v>2.0</v>
      </c>
      <c r="F49" s="315"/>
      <c r="G49" s="316"/>
      <c r="H49" s="280" t="s">
        <v>332</v>
      </c>
      <c r="I49" s="778" t="s">
        <v>8</v>
      </c>
      <c r="K49" s="247"/>
      <c r="L49" s="247"/>
    </row>
    <row r="50">
      <c r="A50" s="261" t="s">
        <v>1000</v>
      </c>
      <c r="B50" s="262" t="s">
        <v>592</v>
      </c>
      <c r="C50" s="282">
        <f>sum(E50:E55)</f>
        <v>12</v>
      </c>
      <c r="D50" s="264" t="s">
        <v>144</v>
      </c>
      <c r="E50" s="264">
        <v>5.0</v>
      </c>
      <c r="F50" s="265"/>
      <c r="G50" s="793" t="s">
        <v>1001</v>
      </c>
      <c r="H50" s="266" t="s">
        <v>1002</v>
      </c>
      <c r="I50" s="794" t="s">
        <v>145</v>
      </c>
      <c r="K50" s="247"/>
      <c r="L50" s="247"/>
    </row>
    <row r="51">
      <c r="A51" s="248"/>
      <c r="D51" s="251" t="s">
        <v>285</v>
      </c>
      <c r="E51" s="251">
        <v>2.0</v>
      </c>
      <c r="F51" s="257"/>
      <c r="G51" s="258"/>
      <c r="H51" s="254" t="s">
        <v>116</v>
      </c>
      <c r="I51" s="764" t="s">
        <v>106</v>
      </c>
      <c r="K51" s="247"/>
      <c r="L51" s="247"/>
    </row>
    <row r="52">
      <c r="A52" s="248"/>
      <c r="D52" s="446" t="s">
        <v>163</v>
      </c>
      <c r="E52" s="251">
        <v>2.0</v>
      </c>
      <c r="F52" s="256"/>
      <c r="G52" s="253"/>
      <c r="H52" s="254" t="s">
        <v>165</v>
      </c>
      <c r="I52" s="764" t="s">
        <v>164</v>
      </c>
      <c r="K52" s="247"/>
      <c r="L52" s="247"/>
    </row>
    <row r="53">
      <c r="A53" s="248"/>
      <c r="D53" s="795" t="s">
        <v>1003</v>
      </c>
      <c r="E53" s="357">
        <v>1.0</v>
      </c>
      <c r="F53" s="252"/>
      <c r="G53" s="253"/>
      <c r="H53" s="254" t="s">
        <v>1004</v>
      </c>
      <c r="I53" s="764" t="s">
        <v>106</v>
      </c>
      <c r="K53" s="247"/>
      <c r="L53" s="247"/>
    </row>
    <row r="54">
      <c r="A54" s="248"/>
      <c r="D54" s="795" t="s">
        <v>1005</v>
      </c>
      <c r="E54" s="357">
        <v>1.0</v>
      </c>
      <c r="F54" s="252"/>
      <c r="G54" s="253"/>
      <c r="H54" s="254" t="s">
        <v>1006</v>
      </c>
      <c r="I54" s="764" t="s">
        <v>106</v>
      </c>
      <c r="K54" s="247"/>
      <c r="L54" s="247"/>
    </row>
    <row r="55">
      <c r="A55" s="259"/>
      <c r="B55" s="260"/>
      <c r="C55" s="260"/>
      <c r="D55" s="796" t="s">
        <v>1007</v>
      </c>
      <c r="E55" s="314">
        <v>1.0</v>
      </c>
      <c r="F55" s="315"/>
      <c r="G55" s="316"/>
      <c r="H55" s="280" t="s">
        <v>1008</v>
      </c>
      <c r="I55" s="778" t="s">
        <v>106</v>
      </c>
      <c r="K55" s="247"/>
      <c r="L55" s="247"/>
    </row>
    <row r="56" ht="45.0" customHeight="1">
      <c r="A56" s="797" t="s">
        <v>319</v>
      </c>
      <c r="B56" s="743"/>
      <c r="C56" s="743"/>
      <c r="D56" s="743"/>
      <c r="E56" s="743"/>
      <c r="F56" s="743"/>
      <c r="G56" s="743"/>
      <c r="H56" s="345"/>
      <c r="I56" s="798"/>
      <c r="J56" s="274"/>
      <c r="K56" s="274"/>
      <c r="L56" s="274"/>
      <c r="M56" s="274"/>
      <c r="N56" s="347"/>
      <c r="O56" s="347"/>
      <c r="P56" s="347"/>
      <c r="Q56" s="347"/>
      <c r="R56" s="347"/>
      <c r="S56" s="347"/>
      <c r="T56" s="347"/>
      <c r="U56" s="347"/>
      <c r="V56" s="347"/>
      <c r="W56" s="347"/>
      <c r="X56" s="347"/>
      <c r="Y56" s="347"/>
      <c r="Z56" s="347"/>
      <c r="AA56" s="347"/>
      <c r="AB56" s="347"/>
      <c r="AC56" s="347"/>
    </row>
    <row r="57">
      <c r="A57" s="261" t="s">
        <v>1009</v>
      </c>
      <c r="B57" s="262" t="s">
        <v>547</v>
      </c>
      <c r="C57" s="282">
        <f>sum(E57:E61)</f>
        <v>12</v>
      </c>
      <c r="D57" s="264" t="s">
        <v>144</v>
      </c>
      <c r="E57" s="264">
        <v>5.0</v>
      </c>
      <c r="F57" s="265"/>
      <c r="G57" s="265"/>
      <c r="H57" s="266" t="s">
        <v>146</v>
      </c>
      <c r="I57" s="794" t="s">
        <v>145</v>
      </c>
      <c r="K57" s="247"/>
      <c r="L57" s="247"/>
    </row>
    <row r="58">
      <c r="A58" s="248"/>
      <c r="D58" s="446" t="s">
        <v>163</v>
      </c>
      <c r="E58" s="251">
        <v>2.0</v>
      </c>
      <c r="F58" s="256"/>
      <c r="G58" s="253"/>
      <c r="H58" s="254" t="s">
        <v>165</v>
      </c>
      <c r="I58" s="764" t="s">
        <v>164</v>
      </c>
      <c r="K58" s="247"/>
      <c r="L58" s="247"/>
    </row>
    <row r="59">
      <c r="A59" s="248"/>
      <c r="D59" s="251" t="s">
        <v>118</v>
      </c>
      <c r="E59" s="251">
        <v>1.0</v>
      </c>
      <c r="F59" s="253"/>
      <c r="G59" s="253"/>
      <c r="H59" s="254" t="s">
        <v>323</v>
      </c>
      <c r="I59" s="764" t="s">
        <v>106</v>
      </c>
      <c r="K59" s="247"/>
      <c r="L59" s="247"/>
    </row>
    <row r="60">
      <c r="A60" s="248"/>
      <c r="D60" s="251" t="s">
        <v>285</v>
      </c>
      <c r="E60" s="251">
        <v>2.0</v>
      </c>
      <c r="F60" s="257"/>
      <c r="G60" s="258"/>
      <c r="H60" s="254" t="s">
        <v>116</v>
      </c>
      <c r="I60" s="764" t="s">
        <v>106</v>
      </c>
      <c r="K60" s="247"/>
      <c r="L60" s="247"/>
    </row>
    <row r="61">
      <c r="A61" s="259"/>
      <c r="B61" s="260"/>
      <c r="C61" s="260"/>
      <c r="D61" s="799" t="s">
        <v>43</v>
      </c>
      <c r="E61" s="800">
        <v>2.0</v>
      </c>
      <c r="F61" s="801"/>
      <c r="G61" s="802"/>
      <c r="H61" s="54" t="s">
        <v>45</v>
      </c>
      <c r="I61" s="803" t="s">
        <v>44</v>
      </c>
      <c r="J61" s="310"/>
      <c r="K61" s="247"/>
      <c r="L61" s="247"/>
    </row>
    <row r="62">
      <c r="A62" s="708" t="s">
        <v>1010</v>
      </c>
      <c r="B62" s="804" t="s">
        <v>388</v>
      </c>
      <c r="C62" s="805">
        <f>sum(E62:E67)</f>
        <v>12</v>
      </c>
      <c r="D62" s="806" t="s">
        <v>56</v>
      </c>
      <c r="E62" s="806">
        <v>1.0</v>
      </c>
      <c r="F62" s="666"/>
      <c r="G62" s="666"/>
      <c r="H62" s="666" t="s">
        <v>57</v>
      </c>
      <c r="I62" s="807" t="s">
        <v>44</v>
      </c>
      <c r="K62" s="247"/>
      <c r="L62" s="247"/>
    </row>
    <row r="63">
      <c r="A63" s="248"/>
      <c r="D63" s="808" t="s">
        <v>12</v>
      </c>
      <c r="E63" s="808">
        <v>2.0</v>
      </c>
      <c r="F63" s="809"/>
      <c r="G63" s="809"/>
      <c r="H63" s="809" t="s">
        <v>349</v>
      </c>
      <c r="I63" s="810" t="s">
        <v>8</v>
      </c>
      <c r="K63" s="247"/>
      <c r="L63" s="247"/>
    </row>
    <row r="64">
      <c r="A64" s="248"/>
      <c r="D64" s="811" t="s">
        <v>148</v>
      </c>
      <c r="E64" s="811">
        <v>3.0</v>
      </c>
      <c r="F64" s="812"/>
      <c r="G64" s="812"/>
      <c r="H64" s="812" t="s">
        <v>146</v>
      </c>
      <c r="I64" s="813" t="s">
        <v>145</v>
      </c>
      <c r="K64" s="247"/>
      <c r="L64" s="247"/>
    </row>
    <row r="65">
      <c r="A65" s="248"/>
      <c r="D65" s="814" t="s">
        <v>163</v>
      </c>
      <c r="E65" s="814">
        <v>2.0</v>
      </c>
      <c r="F65" s="598"/>
      <c r="G65" s="815"/>
      <c r="H65" s="815" t="s">
        <v>165</v>
      </c>
      <c r="I65" s="816" t="s">
        <v>164</v>
      </c>
      <c r="K65" s="247"/>
      <c r="L65" s="247"/>
    </row>
    <row r="66">
      <c r="A66" s="248"/>
      <c r="D66" s="429" t="s">
        <v>65</v>
      </c>
      <c r="E66" s="429">
        <v>3.0</v>
      </c>
      <c r="F66" s="789"/>
      <c r="G66" s="431"/>
      <c r="H66" s="431" t="s">
        <v>284</v>
      </c>
      <c r="I66" s="432" t="s">
        <v>66</v>
      </c>
      <c r="K66" s="247"/>
      <c r="L66" s="247"/>
    </row>
    <row r="67">
      <c r="A67" s="259"/>
      <c r="B67" s="260"/>
      <c r="C67" s="260"/>
      <c r="D67" s="514" t="s">
        <v>285</v>
      </c>
      <c r="E67" s="514">
        <v>1.0</v>
      </c>
      <c r="F67" s="817"/>
      <c r="G67" s="516"/>
      <c r="H67" s="516" t="s">
        <v>116</v>
      </c>
      <c r="I67" s="818" t="s">
        <v>106</v>
      </c>
      <c r="K67" s="247"/>
      <c r="L67" s="247"/>
    </row>
    <row r="68">
      <c r="A68" s="819" t="s">
        <v>1011</v>
      </c>
      <c r="B68" s="262" t="s">
        <v>510</v>
      </c>
      <c r="C68" s="282">
        <f>sum(E68:E71)</f>
        <v>12</v>
      </c>
      <c r="D68" s="510" t="s">
        <v>74</v>
      </c>
      <c r="E68" s="510">
        <v>2.0</v>
      </c>
      <c r="F68" s="63"/>
      <c r="G68" s="65"/>
      <c r="H68" s="65" t="s">
        <v>75</v>
      </c>
      <c r="I68" s="511" t="s">
        <v>66</v>
      </c>
      <c r="K68" s="247"/>
      <c r="L68" s="247"/>
    </row>
    <row r="69">
      <c r="A69" s="248"/>
      <c r="D69" s="357" t="s">
        <v>176</v>
      </c>
      <c r="E69" s="357">
        <v>3.0</v>
      </c>
      <c r="F69" s="253"/>
      <c r="G69" s="253"/>
      <c r="H69" s="254" t="s">
        <v>290</v>
      </c>
      <c r="I69" s="764" t="s">
        <v>177</v>
      </c>
      <c r="K69" s="247"/>
      <c r="L69" s="247"/>
    </row>
    <row r="70">
      <c r="A70" s="248"/>
      <c r="D70" s="784" t="s">
        <v>331</v>
      </c>
      <c r="E70" s="251">
        <v>2.0</v>
      </c>
      <c r="F70" s="252"/>
      <c r="G70" s="253"/>
      <c r="H70" s="254" t="s">
        <v>332</v>
      </c>
      <c r="I70" s="764" t="s">
        <v>8</v>
      </c>
      <c r="K70" s="247"/>
      <c r="L70" s="247"/>
    </row>
    <row r="71">
      <c r="A71" s="259"/>
      <c r="B71" s="260"/>
      <c r="C71" s="260"/>
      <c r="D71" s="277" t="s">
        <v>1012</v>
      </c>
      <c r="E71" s="314">
        <v>5.0</v>
      </c>
      <c r="F71" s="315"/>
      <c r="G71" s="316"/>
      <c r="H71" s="820" t="s">
        <v>1013</v>
      </c>
      <c r="I71" s="617" t="s">
        <v>66</v>
      </c>
      <c r="K71" s="247"/>
      <c r="L71" s="247"/>
    </row>
    <row r="72">
      <c r="A72" s="302" t="s">
        <v>1014</v>
      </c>
      <c r="B72" s="303" t="s">
        <v>600</v>
      </c>
      <c r="C72" s="282">
        <f>sum(E72:E78)</f>
        <v>11</v>
      </c>
      <c r="D72" s="821" t="s">
        <v>43</v>
      </c>
      <c r="E72" s="664">
        <v>2.0</v>
      </c>
      <c r="F72" s="665"/>
      <c r="G72" s="666"/>
      <c r="H72" s="822" t="s">
        <v>45</v>
      </c>
      <c r="I72" s="823" t="s">
        <v>44</v>
      </c>
      <c r="J72" s="3" t="s">
        <v>1015</v>
      </c>
      <c r="K72" s="247"/>
      <c r="L72" s="247"/>
    </row>
    <row r="73">
      <c r="A73" s="248"/>
      <c r="D73" s="380" t="s">
        <v>47</v>
      </c>
      <c r="E73" s="824">
        <v>2.0</v>
      </c>
      <c r="F73" s="53"/>
      <c r="G73" s="54"/>
      <c r="H73" s="54" t="s">
        <v>48</v>
      </c>
      <c r="I73" s="825" t="s">
        <v>44</v>
      </c>
      <c r="J73" s="3" t="s">
        <v>1015</v>
      </c>
      <c r="K73" s="247"/>
      <c r="L73" s="247"/>
    </row>
    <row r="74">
      <c r="A74" s="248"/>
      <c r="D74" s="251" t="s">
        <v>56</v>
      </c>
      <c r="E74" s="251">
        <v>1.0</v>
      </c>
      <c r="F74" s="252"/>
      <c r="G74" s="253"/>
      <c r="H74" s="254" t="s">
        <v>57</v>
      </c>
      <c r="I74" s="255" t="s">
        <v>44</v>
      </c>
      <c r="J74" s="3" t="s">
        <v>1015</v>
      </c>
      <c r="K74" s="247"/>
      <c r="L74" s="247"/>
    </row>
    <row r="75">
      <c r="A75" s="248"/>
      <c r="D75" s="251" t="s">
        <v>160</v>
      </c>
      <c r="E75" s="251">
        <v>1.0</v>
      </c>
      <c r="F75" s="306"/>
      <c r="G75" s="306"/>
      <c r="H75" s="254" t="s">
        <v>161</v>
      </c>
      <c r="I75" s="287" t="s">
        <v>145</v>
      </c>
      <c r="K75" s="247"/>
      <c r="L75" s="247"/>
    </row>
    <row r="76">
      <c r="A76" s="248"/>
      <c r="D76" s="251" t="s">
        <v>163</v>
      </c>
      <c r="E76" s="251">
        <v>2.0</v>
      </c>
      <c r="F76" s="256"/>
      <c r="G76" s="253"/>
      <c r="H76" s="254" t="s">
        <v>165</v>
      </c>
      <c r="I76" s="255" t="s">
        <v>164</v>
      </c>
      <c r="K76" s="247"/>
      <c r="L76" s="247"/>
    </row>
    <row r="77">
      <c r="A77" s="248"/>
      <c r="D77" s="251" t="s">
        <v>132</v>
      </c>
      <c r="E77" s="251">
        <v>1.0</v>
      </c>
      <c r="F77" s="364"/>
      <c r="G77" s="364"/>
      <c r="H77" s="293" t="s">
        <v>133</v>
      </c>
      <c r="I77" s="255" t="s">
        <v>106</v>
      </c>
      <c r="K77" s="247"/>
      <c r="L77" s="247"/>
    </row>
    <row r="78">
      <c r="A78" s="259"/>
      <c r="B78" s="260"/>
      <c r="C78" s="260"/>
      <c r="D78" s="277" t="s">
        <v>23</v>
      </c>
      <c r="E78" s="277">
        <v>2.0</v>
      </c>
      <c r="F78" s="408"/>
      <c r="G78" s="409"/>
      <c r="H78" s="300" t="s">
        <v>308</v>
      </c>
      <c r="I78" s="281" t="s">
        <v>24</v>
      </c>
      <c r="J78" s="3" t="s">
        <v>1015</v>
      </c>
      <c r="K78" s="247"/>
      <c r="L78" s="247"/>
    </row>
    <row r="79">
      <c r="A79" s="261" t="s">
        <v>1016</v>
      </c>
      <c r="B79" s="262" t="s">
        <v>543</v>
      </c>
      <c r="C79" s="282">
        <f>sum(E79:E83)</f>
        <v>11</v>
      </c>
      <c r="D79" s="510" t="s">
        <v>71</v>
      </c>
      <c r="E79" s="510">
        <v>2.0</v>
      </c>
      <c r="F79" s="63"/>
      <c r="G79" s="65"/>
      <c r="H79" s="550" t="s">
        <v>72</v>
      </c>
      <c r="I79" s="511" t="s">
        <v>66</v>
      </c>
      <c r="K79" s="247"/>
      <c r="L79" s="247"/>
    </row>
    <row r="80">
      <c r="A80" s="248"/>
      <c r="D80" s="251" t="s">
        <v>144</v>
      </c>
      <c r="E80" s="251">
        <v>5.0</v>
      </c>
      <c r="F80" s="306"/>
      <c r="G80" s="306"/>
      <c r="H80" s="293" t="s">
        <v>146</v>
      </c>
      <c r="I80" s="774" t="s">
        <v>145</v>
      </c>
      <c r="K80" s="247"/>
      <c r="L80" s="247"/>
    </row>
    <row r="81">
      <c r="A81" s="248"/>
      <c r="D81" s="251" t="s">
        <v>167</v>
      </c>
      <c r="E81" s="251">
        <v>2.0</v>
      </c>
      <c r="F81" s="306"/>
      <c r="G81" s="306"/>
      <c r="H81" s="293" t="s">
        <v>168</v>
      </c>
      <c r="I81" s="255" t="s">
        <v>164</v>
      </c>
      <c r="K81" s="247"/>
      <c r="L81" s="247"/>
    </row>
    <row r="82">
      <c r="A82" s="248"/>
      <c r="D82" s="784" t="s">
        <v>186</v>
      </c>
      <c r="E82" s="785">
        <v>1.0</v>
      </c>
      <c r="F82" s="3"/>
      <c r="G82" s="378"/>
      <c r="H82" s="379" t="s">
        <v>188</v>
      </c>
      <c r="I82" s="786" t="s">
        <v>187</v>
      </c>
      <c r="K82" s="247"/>
      <c r="L82" s="247"/>
    </row>
    <row r="83">
      <c r="A83" s="259"/>
      <c r="B83" s="260"/>
      <c r="C83" s="260"/>
      <c r="D83" s="277" t="s">
        <v>141</v>
      </c>
      <c r="E83" s="277">
        <v>1.0</v>
      </c>
      <c r="F83" s="308"/>
      <c r="G83" s="308"/>
      <c r="H83" s="300" t="s">
        <v>142</v>
      </c>
      <c r="I83" s="281" t="s">
        <v>106</v>
      </c>
      <c r="K83" s="247"/>
      <c r="L83" s="247"/>
    </row>
    <row r="84">
      <c r="A84" s="261" t="s">
        <v>1017</v>
      </c>
      <c r="B84" s="262" t="s">
        <v>368</v>
      </c>
      <c r="C84" s="282">
        <f>sum(E84:E87)</f>
        <v>11</v>
      </c>
      <c r="D84" s="664" t="s">
        <v>53</v>
      </c>
      <c r="E84" s="664">
        <v>2.0</v>
      </c>
      <c r="F84" s="665"/>
      <c r="G84" s="666"/>
      <c r="H84" s="666" t="s">
        <v>54</v>
      </c>
      <c r="I84" s="826" t="s">
        <v>44</v>
      </c>
      <c r="K84" s="247"/>
      <c r="L84" s="247"/>
    </row>
    <row r="85">
      <c r="A85" s="248"/>
      <c r="D85" s="298" t="s">
        <v>77</v>
      </c>
      <c r="E85" s="298">
        <v>4.0</v>
      </c>
      <c r="F85" s="70"/>
      <c r="G85" s="71"/>
      <c r="H85" s="71" t="s">
        <v>1018</v>
      </c>
      <c r="I85" s="307" t="s">
        <v>66</v>
      </c>
      <c r="K85" s="247"/>
      <c r="L85" s="247"/>
    </row>
    <row r="86">
      <c r="A86" s="248"/>
      <c r="D86" s="357" t="s">
        <v>1019</v>
      </c>
      <c r="E86" s="357">
        <v>2.0</v>
      </c>
      <c r="F86" s="252"/>
      <c r="G86" s="253"/>
      <c r="H86" s="827" t="s">
        <v>1020</v>
      </c>
      <c r="I86" s="607" t="s">
        <v>106</v>
      </c>
      <c r="K86" s="247"/>
      <c r="L86" s="247"/>
    </row>
    <row r="87">
      <c r="A87" s="259"/>
      <c r="B87" s="260"/>
      <c r="C87" s="260"/>
      <c r="D87" s="314" t="s">
        <v>176</v>
      </c>
      <c r="E87" s="314">
        <v>3.0</v>
      </c>
      <c r="F87" s="316"/>
      <c r="G87" s="316"/>
      <c r="H87" s="280" t="s">
        <v>290</v>
      </c>
      <c r="I87" s="281" t="s">
        <v>177</v>
      </c>
      <c r="K87" s="247"/>
      <c r="L87" s="247"/>
    </row>
    <row r="88">
      <c r="A88" s="302" t="s">
        <v>1014</v>
      </c>
      <c r="B88" s="303" t="s">
        <v>600</v>
      </c>
      <c r="C88" s="282">
        <f>sum(E88:E94)</f>
        <v>10</v>
      </c>
      <c r="D88" s="828" t="s">
        <v>43</v>
      </c>
      <c r="E88" s="829">
        <v>2.0</v>
      </c>
      <c r="F88" s="665"/>
      <c r="G88" s="666"/>
      <c r="H88" s="822" t="s">
        <v>45</v>
      </c>
      <c r="I88" s="830" t="s">
        <v>44</v>
      </c>
      <c r="J88" s="3" t="s">
        <v>1015</v>
      </c>
      <c r="K88" s="247"/>
      <c r="L88" s="247"/>
    </row>
    <row r="89">
      <c r="A89" s="248"/>
      <c r="D89" s="622" t="s">
        <v>47</v>
      </c>
      <c r="E89" s="52">
        <v>2.0</v>
      </c>
      <c r="F89" s="53"/>
      <c r="G89" s="54"/>
      <c r="H89" s="54" t="s">
        <v>48</v>
      </c>
      <c r="I89" s="831" t="s">
        <v>44</v>
      </c>
      <c r="J89" s="3" t="s">
        <v>1015</v>
      </c>
      <c r="K89" s="247"/>
      <c r="L89" s="247"/>
    </row>
    <row r="90">
      <c r="A90" s="248"/>
      <c r="D90" s="446" t="s">
        <v>56</v>
      </c>
      <c r="E90" s="251">
        <v>1.0</v>
      </c>
      <c r="F90" s="252"/>
      <c r="G90" s="253"/>
      <c r="H90" s="254" t="s">
        <v>57</v>
      </c>
      <c r="I90" s="764" t="s">
        <v>44</v>
      </c>
      <c r="J90" s="3" t="s">
        <v>1015</v>
      </c>
      <c r="K90" s="247"/>
      <c r="L90" s="247"/>
    </row>
    <row r="91">
      <c r="A91" s="248"/>
      <c r="D91" s="251" t="s">
        <v>160</v>
      </c>
      <c r="E91" s="251">
        <v>1.0</v>
      </c>
      <c r="F91" s="306"/>
      <c r="G91" s="306"/>
      <c r="H91" s="254" t="s">
        <v>161</v>
      </c>
      <c r="I91" s="774" t="s">
        <v>145</v>
      </c>
      <c r="K91" s="247"/>
      <c r="L91" s="247"/>
    </row>
    <row r="92">
      <c r="A92" s="248"/>
      <c r="D92" s="446" t="s">
        <v>163</v>
      </c>
      <c r="E92" s="251">
        <v>2.0</v>
      </c>
      <c r="F92" s="256"/>
      <c r="G92" s="253"/>
      <c r="H92" s="254" t="s">
        <v>165</v>
      </c>
      <c r="I92" s="764" t="s">
        <v>164</v>
      </c>
      <c r="K92" s="247"/>
      <c r="L92" s="247"/>
    </row>
    <row r="93">
      <c r="A93" s="248"/>
      <c r="D93" s="251" t="s">
        <v>132</v>
      </c>
      <c r="E93" s="251">
        <v>1.0</v>
      </c>
      <c r="F93" s="364"/>
      <c r="G93" s="364"/>
      <c r="H93" s="293" t="s">
        <v>133</v>
      </c>
      <c r="I93" s="764" t="s">
        <v>106</v>
      </c>
      <c r="K93" s="247"/>
      <c r="L93" s="247"/>
    </row>
    <row r="94">
      <c r="A94" s="259"/>
      <c r="B94" s="260"/>
      <c r="C94" s="260"/>
      <c r="D94" s="832" t="s">
        <v>23</v>
      </c>
      <c r="E94" s="277">
        <v>1.0</v>
      </c>
      <c r="F94" s="408"/>
      <c r="G94" s="409"/>
      <c r="H94" s="300" t="s">
        <v>308</v>
      </c>
      <c r="I94" s="778" t="s">
        <v>24</v>
      </c>
      <c r="J94" s="3" t="s">
        <v>1015</v>
      </c>
      <c r="K94" s="247"/>
      <c r="L94" s="247"/>
    </row>
    <row r="95" ht="39.0" customHeight="1">
      <c r="A95" s="833" t="s">
        <v>477</v>
      </c>
      <c r="H95" s="508"/>
      <c r="I95" s="834"/>
      <c r="K95" s="247"/>
      <c r="L95" s="247"/>
    </row>
    <row r="96">
      <c r="A96" s="328" t="s">
        <v>1021</v>
      </c>
      <c r="B96" s="262" t="s">
        <v>1022</v>
      </c>
      <c r="C96" s="282">
        <f>sum(E96:E99)</f>
        <v>9</v>
      </c>
      <c r="D96" s="264" t="s">
        <v>144</v>
      </c>
      <c r="E96" s="264">
        <v>5.0</v>
      </c>
      <c r="F96" s="265"/>
      <c r="G96" s="265"/>
      <c r="H96" s="266" t="s">
        <v>146</v>
      </c>
      <c r="I96" s="835" t="s">
        <v>145</v>
      </c>
      <c r="J96" s="305"/>
      <c r="K96" s="693"/>
      <c r="L96" s="693"/>
      <c r="M96" s="305"/>
      <c r="N96" s="305"/>
      <c r="O96" s="305"/>
      <c r="P96" s="305"/>
      <c r="Q96" s="305"/>
      <c r="R96" s="305"/>
      <c r="S96" s="305"/>
      <c r="T96" s="305"/>
      <c r="U96" s="305"/>
      <c r="V96" s="305"/>
      <c r="W96" s="305"/>
      <c r="X96" s="305"/>
      <c r="Y96" s="305"/>
      <c r="Z96" s="305"/>
      <c r="AA96" s="305"/>
      <c r="AB96" s="305"/>
      <c r="AC96" s="694"/>
    </row>
    <row r="97">
      <c r="A97" s="248"/>
      <c r="D97" s="784" t="s">
        <v>186</v>
      </c>
      <c r="E97" s="785">
        <v>1.0</v>
      </c>
      <c r="F97" s="3"/>
      <c r="G97" s="378"/>
      <c r="H97" s="379" t="s">
        <v>188</v>
      </c>
      <c r="I97" s="836" t="s">
        <v>187</v>
      </c>
      <c r="K97" s="247"/>
      <c r="L97" s="247"/>
      <c r="AC97" s="696"/>
    </row>
    <row r="98">
      <c r="A98" s="248"/>
      <c r="D98" s="251" t="s">
        <v>285</v>
      </c>
      <c r="E98" s="251">
        <v>2.0</v>
      </c>
      <c r="F98" s="257"/>
      <c r="G98" s="258"/>
      <c r="H98" s="254" t="s">
        <v>116</v>
      </c>
      <c r="I98" s="247" t="s">
        <v>106</v>
      </c>
      <c r="K98" s="247"/>
      <c r="L98" s="247"/>
      <c r="AC98" s="696"/>
    </row>
    <row r="99">
      <c r="A99" s="259"/>
      <c r="B99" s="260"/>
      <c r="C99" s="260"/>
      <c r="D99" s="277" t="s">
        <v>132</v>
      </c>
      <c r="E99" s="277">
        <v>1.0</v>
      </c>
      <c r="F99" s="308"/>
      <c r="G99" s="308"/>
      <c r="H99" s="300" t="s">
        <v>133</v>
      </c>
      <c r="I99" s="697" t="s">
        <v>106</v>
      </c>
      <c r="J99" s="316"/>
      <c r="K99" s="697"/>
      <c r="L99" s="697"/>
      <c r="M99" s="316"/>
      <c r="N99" s="316"/>
      <c r="O99" s="316"/>
      <c r="P99" s="316"/>
      <c r="Q99" s="316"/>
      <c r="R99" s="316"/>
      <c r="S99" s="316"/>
      <c r="T99" s="316"/>
      <c r="U99" s="316"/>
      <c r="V99" s="316"/>
      <c r="W99" s="316"/>
      <c r="X99" s="316"/>
      <c r="Y99" s="316"/>
      <c r="Z99" s="316"/>
      <c r="AA99" s="316"/>
      <c r="AB99" s="316"/>
      <c r="AC99" s="698"/>
    </row>
    <row r="100">
      <c r="A100" s="326" t="s">
        <v>501</v>
      </c>
      <c r="B100" s="327" t="s">
        <v>502</v>
      </c>
      <c r="C100" s="242">
        <f>sum(E100:E103)</f>
        <v>9</v>
      </c>
      <c r="D100" s="784" t="s">
        <v>331</v>
      </c>
      <c r="E100" s="251">
        <v>2.0</v>
      </c>
      <c r="F100" s="252"/>
      <c r="G100" s="253"/>
      <c r="H100" s="254" t="s">
        <v>332</v>
      </c>
      <c r="I100" s="764" t="s">
        <v>8</v>
      </c>
      <c r="K100" s="247"/>
      <c r="L100" s="247"/>
    </row>
    <row r="101">
      <c r="A101" s="248"/>
      <c r="D101" s="357" t="s">
        <v>503</v>
      </c>
      <c r="E101" s="357">
        <v>3.0</v>
      </c>
      <c r="F101" s="252"/>
      <c r="G101" s="253"/>
      <c r="H101" s="254" t="s">
        <v>504</v>
      </c>
      <c r="I101" s="764" t="s">
        <v>99</v>
      </c>
      <c r="K101" s="247"/>
      <c r="L101" s="247"/>
    </row>
    <row r="102">
      <c r="A102" s="248"/>
      <c r="D102" s="763" t="s">
        <v>62</v>
      </c>
      <c r="E102" s="763">
        <v>1.0</v>
      </c>
      <c r="F102" s="274"/>
      <c r="G102" s="274"/>
      <c r="H102" s="275" t="s">
        <v>63</v>
      </c>
      <c r="I102" s="764" t="s">
        <v>44</v>
      </c>
      <c r="K102" s="247"/>
      <c r="L102" s="247"/>
    </row>
    <row r="103">
      <c r="A103" s="259"/>
      <c r="B103" s="260"/>
      <c r="C103" s="260"/>
      <c r="D103" s="251" t="s">
        <v>65</v>
      </c>
      <c r="E103" s="251">
        <v>3.0</v>
      </c>
      <c r="F103" s="257"/>
      <c r="G103" s="258"/>
      <c r="H103" s="254" t="s">
        <v>284</v>
      </c>
      <c r="I103" s="764" t="s">
        <v>66</v>
      </c>
      <c r="K103" s="247"/>
      <c r="L103" s="247"/>
    </row>
    <row r="104">
      <c r="A104" s="261" t="s">
        <v>1023</v>
      </c>
      <c r="B104" s="262" t="s">
        <v>592</v>
      </c>
      <c r="C104" s="282">
        <f>sum(E104:E108)</f>
        <v>9</v>
      </c>
      <c r="D104" s="772" t="s">
        <v>163</v>
      </c>
      <c r="E104" s="264">
        <v>2.0</v>
      </c>
      <c r="F104" s="374"/>
      <c r="G104" s="305"/>
      <c r="H104" s="285" t="s">
        <v>165</v>
      </c>
      <c r="I104" s="762" t="s">
        <v>164</v>
      </c>
      <c r="K104" s="247"/>
      <c r="L104" s="247"/>
    </row>
    <row r="105">
      <c r="A105" s="248"/>
      <c r="D105" s="768" t="s">
        <v>183</v>
      </c>
      <c r="E105" s="769">
        <v>2.0</v>
      </c>
      <c r="F105" s="172"/>
      <c r="G105" s="173"/>
      <c r="H105" s="173" t="s">
        <v>184</v>
      </c>
      <c r="I105" s="770" t="s">
        <v>177</v>
      </c>
      <c r="K105" s="247"/>
      <c r="L105" s="247"/>
    </row>
    <row r="106">
      <c r="A106" s="248"/>
      <c r="D106" s="334" t="s">
        <v>40</v>
      </c>
      <c r="E106" s="335">
        <v>1.0</v>
      </c>
      <c r="F106" s="39"/>
      <c r="G106" s="41"/>
      <c r="H106" s="41" t="s">
        <v>41</v>
      </c>
      <c r="I106" s="336" t="s">
        <v>31</v>
      </c>
      <c r="K106" s="247"/>
      <c r="L106" s="247"/>
    </row>
    <row r="107">
      <c r="A107" s="248"/>
      <c r="D107" s="251" t="s">
        <v>406</v>
      </c>
      <c r="E107" s="251">
        <v>3.0</v>
      </c>
      <c r="F107" s="252"/>
      <c r="G107" s="253"/>
      <c r="H107" s="254" t="s">
        <v>32</v>
      </c>
      <c r="I107" s="336" t="s">
        <v>31</v>
      </c>
      <c r="K107" s="247"/>
      <c r="L107" s="247"/>
    </row>
    <row r="108">
      <c r="A108" s="259"/>
      <c r="B108" s="260"/>
      <c r="C108" s="260"/>
      <c r="D108" s="832" t="s">
        <v>23</v>
      </c>
      <c r="E108" s="277">
        <v>1.0</v>
      </c>
      <c r="F108" s="365"/>
      <c r="G108" s="316"/>
      <c r="H108" s="280" t="s">
        <v>308</v>
      </c>
      <c r="I108" s="778" t="s">
        <v>24</v>
      </c>
      <c r="K108" s="247"/>
      <c r="L108" s="247"/>
    </row>
    <row r="109">
      <c r="A109" s="261" t="s">
        <v>1024</v>
      </c>
      <c r="B109" s="262" t="s">
        <v>368</v>
      </c>
      <c r="C109" s="282">
        <f>sum(E109:E112)</f>
        <v>8</v>
      </c>
      <c r="D109" s="761" t="s">
        <v>1025</v>
      </c>
      <c r="E109" s="264">
        <v>4.0</v>
      </c>
      <c r="F109" s="330"/>
      <c r="G109" s="305"/>
      <c r="H109" s="285" t="s">
        <v>1026</v>
      </c>
      <c r="I109" s="762" t="s">
        <v>8</v>
      </c>
      <c r="K109" s="247"/>
      <c r="L109" s="247"/>
    </row>
    <row r="110">
      <c r="A110" s="248"/>
      <c r="D110" s="784" t="s">
        <v>127</v>
      </c>
      <c r="E110" s="251">
        <v>1.0</v>
      </c>
      <c r="F110" s="400" t="s">
        <v>369</v>
      </c>
      <c r="G110" s="401" t="s">
        <v>373</v>
      </c>
      <c r="H110" s="254" t="s">
        <v>128</v>
      </c>
      <c r="I110" s="764" t="s">
        <v>106</v>
      </c>
      <c r="K110" s="247"/>
      <c r="L110" s="247"/>
    </row>
    <row r="111">
      <c r="A111" s="248"/>
      <c r="D111" s="763" t="s">
        <v>62</v>
      </c>
      <c r="E111" s="763">
        <v>1.0</v>
      </c>
      <c r="F111" s="274"/>
      <c r="G111" s="274"/>
      <c r="H111" s="275" t="s">
        <v>63</v>
      </c>
      <c r="I111" s="764" t="s">
        <v>44</v>
      </c>
      <c r="K111" s="247"/>
      <c r="L111" s="247"/>
    </row>
    <row r="112">
      <c r="A112" s="259"/>
      <c r="B112" s="260"/>
      <c r="C112" s="260"/>
      <c r="D112" s="277" t="s">
        <v>285</v>
      </c>
      <c r="E112" s="277">
        <v>2.0</v>
      </c>
      <c r="F112" s="278"/>
      <c r="G112" s="279"/>
      <c r="H112" s="280" t="s">
        <v>116</v>
      </c>
      <c r="I112" s="764" t="s">
        <v>106</v>
      </c>
      <c r="K112" s="247"/>
      <c r="L112" s="247"/>
    </row>
    <row r="113">
      <c r="A113" s="261" t="s">
        <v>1027</v>
      </c>
      <c r="B113" s="262" t="s">
        <v>1028</v>
      </c>
      <c r="C113" s="282">
        <f>sum(E113:E116)</f>
        <v>7</v>
      </c>
      <c r="D113" s="304" t="s">
        <v>1029</v>
      </c>
      <c r="E113" s="304">
        <v>2.0</v>
      </c>
      <c r="F113" s="330"/>
      <c r="G113" s="305"/>
      <c r="H113" s="518" t="s">
        <v>1030</v>
      </c>
      <c r="I113" s="762" t="s">
        <v>66</v>
      </c>
      <c r="K113" s="247"/>
      <c r="L113" s="247"/>
    </row>
    <row r="114">
      <c r="A114" s="248"/>
      <c r="D114" s="357" t="s">
        <v>176</v>
      </c>
      <c r="E114" s="357">
        <v>3.0</v>
      </c>
      <c r="F114" s="253"/>
      <c r="G114" s="253"/>
      <c r="H114" s="254" t="s">
        <v>290</v>
      </c>
      <c r="I114" s="764" t="s">
        <v>177</v>
      </c>
      <c r="K114" s="247"/>
      <c r="L114" s="247"/>
    </row>
    <row r="115">
      <c r="A115" s="248"/>
      <c r="D115" s="357" t="s">
        <v>1031</v>
      </c>
      <c r="E115" s="357">
        <v>1.0</v>
      </c>
      <c r="F115" s="252"/>
      <c r="G115" s="253"/>
      <c r="H115" s="3" t="s">
        <v>1032</v>
      </c>
      <c r="I115" s="764" t="s">
        <v>164</v>
      </c>
      <c r="K115" s="247"/>
      <c r="L115" s="247"/>
    </row>
    <row r="116">
      <c r="A116" s="259"/>
      <c r="B116" s="260"/>
      <c r="C116" s="260"/>
      <c r="D116" s="314" t="s">
        <v>1033</v>
      </c>
      <c r="E116" s="314">
        <v>1.0</v>
      </c>
      <c r="F116" s="315"/>
      <c r="G116" s="316"/>
      <c r="H116" s="395" t="s">
        <v>1034</v>
      </c>
      <c r="I116" s="778" t="s">
        <v>106</v>
      </c>
      <c r="K116" s="247"/>
      <c r="L116" s="247"/>
    </row>
    <row r="117">
      <c r="A117" s="689" t="s">
        <v>1035</v>
      </c>
      <c r="B117" s="591" t="s">
        <v>1036</v>
      </c>
      <c r="C117" s="837">
        <f>sum(E117:E122)</f>
        <v>7</v>
      </c>
      <c r="D117" s="594" t="s">
        <v>27</v>
      </c>
      <c r="E117" s="838">
        <v>1.0</v>
      </c>
      <c r="F117" s="839"/>
      <c r="G117" s="839"/>
      <c r="H117" s="839" t="s">
        <v>28</v>
      </c>
      <c r="I117" s="596" t="s">
        <v>24</v>
      </c>
      <c r="K117" s="247"/>
      <c r="L117" s="247"/>
    </row>
    <row r="118">
      <c r="A118" s="248"/>
      <c r="D118" s="840" t="s">
        <v>34</v>
      </c>
      <c r="E118" s="840">
        <v>1.0</v>
      </c>
      <c r="F118" s="841"/>
      <c r="G118" s="841"/>
      <c r="H118" s="841" t="s">
        <v>35</v>
      </c>
      <c r="I118" s="842" t="s">
        <v>31</v>
      </c>
      <c r="K118" s="247"/>
      <c r="L118" s="247"/>
    </row>
    <row r="119">
      <c r="A119" s="248"/>
      <c r="D119" s="843" t="s">
        <v>62</v>
      </c>
      <c r="E119" s="843">
        <v>1.0</v>
      </c>
      <c r="F119" s="844"/>
      <c r="G119" s="844"/>
      <c r="H119" s="844" t="s">
        <v>63</v>
      </c>
      <c r="I119" s="845" t="s">
        <v>44</v>
      </c>
      <c r="K119" s="247"/>
      <c r="L119" s="247"/>
    </row>
    <row r="120">
      <c r="A120" s="248"/>
      <c r="D120" s="604" t="s">
        <v>118</v>
      </c>
      <c r="E120" s="604">
        <v>1.0</v>
      </c>
      <c r="F120" s="606"/>
      <c r="G120" s="606"/>
      <c r="H120" s="606" t="s">
        <v>323</v>
      </c>
      <c r="I120" s="607" t="s">
        <v>106</v>
      </c>
      <c r="K120" s="247"/>
      <c r="L120" s="247"/>
    </row>
    <row r="121">
      <c r="A121" s="248"/>
      <c r="D121" s="846" t="s">
        <v>190</v>
      </c>
      <c r="E121" s="601">
        <v>1.0</v>
      </c>
      <c r="F121" s="602"/>
      <c r="G121" s="602"/>
      <c r="H121" s="602" t="s">
        <v>191</v>
      </c>
      <c r="I121" s="603" t="s">
        <v>187</v>
      </c>
      <c r="K121" s="247"/>
      <c r="L121" s="247"/>
    </row>
    <row r="122">
      <c r="A122" s="259"/>
      <c r="B122" s="260"/>
      <c r="C122" s="260"/>
      <c r="D122" s="847" t="s">
        <v>163</v>
      </c>
      <c r="E122" s="847">
        <v>2.0</v>
      </c>
      <c r="F122" s="848"/>
      <c r="G122" s="848"/>
      <c r="H122" s="848" t="s">
        <v>165</v>
      </c>
      <c r="I122" s="849" t="s">
        <v>164</v>
      </c>
      <c r="K122" s="247"/>
      <c r="L122" s="247"/>
    </row>
    <row r="123">
      <c r="A123" s="678" t="s">
        <v>710</v>
      </c>
      <c r="B123" s="260"/>
      <c r="C123" s="260"/>
      <c r="D123" s="260"/>
      <c r="E123" s="260"/>
      <c r="F123" s="260"/>
      <c r="G123" s="260"/>
      <c r="H123" s="679"/>
      <c r="I123" s="850"/>
      <c r="K123" s="247"/>
      <c r="L123" s="247"/>
    </row>
    <row r="124">
      <c r="A124" s="328" t="s">
        <v>1037</v>
      </c>
      <c r="B124" s="262" t="s">
        <v>502</v>
      </c>
      <c r="C124" s="282">
        <f>sum(E124:E126)</f>
        <v>6</v>
      </c>
      <c r="D124" s="660" t="s">
        <v>124</v>
      </c>
      <c r="E124" s="661">
        <v>1.0</v>
      </c>
      <c r="F124" s="504"/>
      <c r="G124" s="662"/>
      <c r="H124" s="662" t="s">
        <v>125</v>
      </c>
      <c r="I124" s="286" t="s">
        <v>106</v>
      </c>
      <c r="K124" s="247"/>
      <c r="L124" s="247"/>
    </row>
    <row r="125">
      <c r="A125" s="248"/>
      <c r="D125" s="251" t="s">
        <v>285</v>
      </c>
      <c r="E125" s="251">
        <v>2.0</v>
      </c>
      <c r="F125" s="257"/>
      <c r="G125" s="258"/>
      <c r="H125" s="254" t="s">
        <v>116</v>
      </c>
      <c r="I125" s="764" t="s">
        <v>106</v>
      </c>
      <c r="K125" s="247"/>
      <c r="L125" s="247"/>
    </row>
    <row r="126">
      <c r="A126" s="259"/>
      <c r="B126" s="260"/>
      <c r="C126" s="260"/>
      <c r="D126" s="851" t="s">
        <v>148</v>
      </c>
      <c r="E126" s="851">
        <v>3.0</v>
      </c>
      <c r="F126" s="852"/>
      <c r="G126" s="852"/>
      <c r="H126" s="852" t="s">
        <v>146</v>
      </c>
      <c r="I126" s="853" t="s">
        <v>145</v>
      </c>
      <c r="K126" s="247"/>
      <c r="L126" s="247"/>
    </row>
    <row r="127">
      <c r="A127" s="326" t="s">
        <v>1038</v>
      </c>
      <c r="B127" s="327" t="s">
        <v>588</v>
      </c>
      <c r="C127" s="242">
        <f>sum(E127:E128)</f>
        <v>5</v>
      </c>
      <c r="D127" s="446" t="s">
        <v>163</v>
      </c>
      <c r="E127" s="251">
        <v>2.0</v>
      </c>
      <c r="F127" s="256"/>
      <c r="G127" s="253"/>
      <c r="H127" s="254" t="s">
        <v>165</v>
      </c>
      <c r="I127" s="764" t="s">
        <v>164</v>
      </c>
      <c r="K127" s="247"/>
      <c r="L127" s="247"/>
    </row>
    <row r="128">
      <c r="A128" s="259"/>
      <c r="B128" s="260"/>
      <c r="C128" s="260"/>
      <c r="D128" s="357" t="s">
        <v>176</v>
      </c>
      <c r="E128" s="357">
        <v>3.0</v>
      </c>
      <c r="F128" s="253"/>
      <c r="G128" s="253"/>
      <c r="H128" s="254" t="s">
        <v>290</v>
      </c>
      <c r="I128" s="764" t="s">
        <v>177</v>
      </c>
      <c r="K128" s="247"/>
      <c r="L128" s="247"/>
    </row>
    <row r="129">
      <c r="A129" s="261" t="s">
        <v>769</v>
      </c>
      <c r="B129" s="262" t="s">
        <v>770</v>
      </c>
      <c r="C129" s="282">
        <f>sum(E129:E130)</f>
        <v>4</v>
      </c>
      <c r="D129" s="264" t="s">
        <v>121</v>
      </c>
      <c r="E129" s="264">
        <v>1.0</v>
      </c>
      <c r="F129" s="406"/>
      <c r="G129" s="406"/>
      <c r="H129" s="266" t="s">
        <v>328</v>
      </c>
      <c r="I129" s="762" t="s">
        <v>106</v>
      </c>
      <c r="K129" s="247"/>
      <c r="L129" s="247"/>
    </row>
    <row r="130">
      <c r="A130" s="259"/>
      <c r="B130" s="260"/>
      <c r="C130" s="260"/>
      <c r="D130" s="357" t="s">
        <v>771</v>
      </c>
      <c r="E130" s="357">
        <v>3.0</v>
      </c>
      <c r="F130" s="252"/>
      <c r="G130" s="252"/>
      <c r="H130" s="294" t="s">
        <v>772</v>
      </c>
      <c r="I130" s="764" t="s">
        <v>106</v>
      </c>
      <c r="K130" s="247"/>
      <c r="L130" s="247"/>
    </row>
    <row r="131">
      <c r="A131" s="714" t="s">
        <v>1039</v>
      </c>
      <c r="B131" s="711" t="s">
        <v>1040</v>
      </c>
      <c r="C131" s="712">
        <f>sum(E131)</f>
        <v>4</v>
      </c>
      <c r="D131" s="854" t="s">
        <v>1041</v>
      </c>
      <c r="E131" s="640">
        <v>4.0</v>
      </c>
      <c r="F131" s="855"/>
      <c r="G131" s="855"/>
      <c r="H131" s="856" t="s">
        <v>1042</v>
      </c>
      <c r="I131" s="857" t="s">
        <v>106</v>
      </c>
      <c r="K131" s="247"/>
      <c r="L131" s="247"/>
    </row>
    <row r="132">
      <c r="A132" s="327" t="s">
        <v>1043</v>
      </c>
      <c r="B132" s="327" t="s">
        <v>396</v>
      </c>
      <c r="C132" s="282">
        <f>sum(E132:E133)</f>
        <v>3</v>
      </c>
      <c r="D132" s="446" t="s">
        <v>163</v>
      </c>
      <c r="E132" s="251">
        <v>2.0</v>
      </c>
      <c r="F132" s="256"/>
      <c r="G132" s="253"/>
      <c r="H132" s="254" t="s">
        <v>165</v>
      </c>
      <c r="I132" s="764" t="s">
        <v>164</v>
      </c>
      <c r="K132" s="247"/>
      <c r="L132" s="247"/>
    </row>
    <row r="133">
      <c r="D133" s="586" t="s">
        <v>95</v>
      </c>
      <c r="E133" s="298">
        <v>1.0</v>
      </c>
      <c r="F133" s="70"/>
      <c r="G133" s="79"/>
      <c r="H133" s="587" t="s">
        <v>96</v>
      </c>
      <c r="I133" s="297" t="s">
        <v>66</v>
      </c>
      <c r="K133" s="247"/>
      <c r="L133" s="247"/>
    </row>
    <row r="134">
      <c r="A134" s="261" t="s">
        <v>928</v>
      </c>
      <c r="B134" s="262" t="s">
        <v>929</v>
      </c>
      <c r="C134" s="282">
        <f t="shared" ref="C134:C135" si="1">sum(E134)</f>
        <v>0</v>
      </c>
      <c r="D134" s="747" t="s">
        <v>922</v>
      </c>
      <c r="E134" s="344"/>
      <c r="F134" s="344"/>
      <c r="G134" s="344"/>
      <c r="H134" s="344"/>
      <c r="I134" s="748"/>
      <c r="K134" s="247"/>
      <c r="L134" s="247"/>
    </row>
    <row r="135">
      <c r="A135" s="241" t="s">
        <v>1044</v>
      </c>
      <c r="B135" s="327" t="s">
        <v>684</v>
      </c>
      <c r="C135" s="282">
        <f t="shared" si="1"/>
        <v>0</v>
      </c>
      <c r="D135" s="747" t="s">
        <v>922</v>
      </c>
      <c r="E135" s="344"/>
      <c r="F135" s="344"/>
      <c r="G135" s="344"/>
      <c r="H135" s="344"/>
      <c r="I135" s="748"/>
      <c r="K135" s="247"/>
      <c r="L135" s="247"/>
    </row>
    <row r="136">
      <c r="D136" s="257"/>
      <c r="E136" s="257"/>
      <c r="F136" s="252"/>
      <c r="H136" s="369"/>
      <c r="I136" s="858"/>
      <c r="K136" s="247"/>
      <c r="L136" s="247"/>
    </row>
    <row r="137">
      <c r="D137" s="257"/>
      <c r="E137" s="257"/>
      <c r="F137" s="252"/>
      <c r="H137" s="369"/>
      <c r="I137" s="858"/>
      <c r="K137" s="247"/>
      <c r="L137" s="247"/>
    </row>
    <row r="138">
      <c r="D138" s="257"/>
      <c r="E138" s="257"/>
      <c r="F138" s="252"/>
      <c r="H138" s="369"/>
      <c r="I138" s="858"/>
      <c r="K138" s="247"/>
      <c r="L138" s="247"/>
    </row>
    <row r="139">
      <c r="D139" s="257"/>
      <c r="E139" s="257"/>
      <c r="F139" s="252"/>
      <c r="H139" s="369"/>
      <c r="I139" s="858"/>
      <c r="K139" s="247"/>
      <c r="L139" s="247"/>
    </row>
    <row r="140">
      <c r="D140" s="257"/>
      <c r="E140" s="257"/>
      <c r="F140" s="252"/>
      <c r="H140" s="369"/>
      <c r="I140" s="858"/>
      <c r="K140" s="247"/>
      <c r="L140" s="247"/>
    </row>
    <row r="141">
      <c r="D141" s="257"/>
      <c r="E141" s="257"/>
      <c r="F141" s="252"/>
      <c r="H141" s="369"/>
      <c r="I141" s="858"/>
      <c r="K141" s="247"/>
      <c r="L141" s="247"/>
    </row>
    <row r="142">
      <c r="D142" s="257"/>
      <c r="E142" s="257"/>
      <c r="F142" s="252"/>
      <c r="H142" s="369"/>
      <c r="I142" s="858"/>
      <c r="K142" s="247"/>
      <c r="L142" s="247"/>
    </row>
    <row r="143">
      <c r="D143" s="257"/>
      <c r="E143" s="257"/>
      <c r="F143" s="252"/>
      <c r="H143" s="369"/>
      <c r="I143" s="858"/>
      <c r="K143" s="247"/>
      <c r="L143" s="247"/>
    </row>
    <row r="144">
      <c r="D144" s="257"/>
      <c r="E144" s="257"/>
      <c r="F144" s="252"/>
      <c r="H144" s="369"/>
      <c r="I144" s="858"/>
      <c r="K144" s="247"/>
      <c r="L144" s="247"/>
    </row>
    <row r="145">
      <c r="D145" s="257"/>
      <c r="E145" s="257"/>
      <c r="F145" s="252"/>
      <c r="H145" s="369"/>
      <c r="I145" s="858"/>
      <c r="K145" s="247"/>
      <c r="L145" s="247"/>
    </row>
    <row r="146">
      <c r="D146" s="257"/>
      <c r="E146" s="257"/>
      <c r="F146" s="252"/>
      <c r="H146" s="369"/>
      <c r="I146" s="858"/>
      <c r="K146" s="247"/>
      <c r="L146" s="247"/>
    </row>
    <row r="147">
      <c r="D147" s="257"/>
      <c r="E147" s="257"/>
      <c r="F147" s="252"/>
      <c r="H147" s="369"/>
      <c r="I147" s="858"/>
      <c r="K147" s="247"/>
      <c r="L147" s="247"/>
    </row>
    <row r="148">
      <c r="D148" s="257"/>
      <c r="E148" s="257"/>
      <c r="F148" s="252"/>
      <c r="H148" s="369"/>
      <c r="I148" s="858"/>
      <c r="K148" s="247"/>
      <c r="L148" s="247"/>
    </row>
    <row r="149">
      <c r="D149" s="257"/>
      <c r="E149" s="257"/>
      <c r="F149" s="252"/>
      <c r="H149" s="369"/>
      <c r="I149" s="858"/>
      <c r="K149" s="247"/>
      <c r="L149" s="247"/>
    </row>
    <row r="150">
      <c r="D150" s="257"/>
      <c r="E150" s="257"/>
      <c r="F150" s="252"/>
      <c r="H150" s="369"/>
      <c r="I150" s="858"/>
      <c r="K150" s="247"/>
      <c r="L150" s="247"/>
    </row>
    <row r="151">
      <c r="D151" s="257"/>
      <c r="E151" s="257"/>
      <c r="F151" s="252"/>
      <c r="H151" s="369"/>
      <c r="I151" s="858"/>
      <c r="K151" s="247"/>
      <c r="L151" s="247"/>
    </row>
    <row r="152">
      <c r="D152" s="257"/>
      <c r="E152" s="257"/>
      <c r="F152" s="252"/>
      <c r="H152" s="369"/>
      <c r="I152" s="858"/>
      <c r="K152" s="247"/>
      <c r="L152" s="247"/>
    </row>
    <row r="153">
      <c r="D153" s="257"/>
      <c r="E153" s="257"/>
      <c r="F153" s="252"/>
      <c r="H153" s="369"/>
      <c r="I153" s="858"/>
      <c r="K153" s="247"/>
      <c r="L153" s="247"/>
    </row>
    <row r="154">
      <c r="D154" s="257"/>
      <c r="E154" s="257"/>
      <c r="F154" s="252"/>
      <c r="H154" s="369"/>
      <c r="I154" s="858"/>
      <c r="K154" s="247"/>
      <c r="L154" s="247"/>
    </row>
    <row r="155">
      <c r="D155" s="257"/>
      <c r="E155" s="257"/>
      <c r="F155" s="252"/>
      <c r="H155" s="369"/>
      <c r="I155" s="858"/>
      <c r="K155" s="247"/>
      <c r="L155" s="247"/>
    </row>
    <row r="156">
      <c r="D156" s="257"/>
      <c r="E156" s="257"/>
      <c r="F156" s="252"/>
      <c r="H156" s="369"/>
      <c r="I156" s="858"/>
      <c r="K156" s="247"/>
      <c r="L156" s="247"/>
    </row>
    <row r="157">
      <c r="D157" s="257"/>
      <c r="E157" s="257"/>
      <c r="F157" s="252"/>
      <c r="H157" s="369"/>
      <c r="I157" s="858"/>
      <c r="K157" s="247"/>
      <c r="L157" s="247"/>
    </row>
    <row r="158">
      <c r="D158" s="257"/>
      <c r="E158" s="257"/>
      <c r="F158" s="252"/>
      <c r="H158" s="369"/>
      <c r="I158" s="858"/>
      <c r="K158" s="247"/>
      <c r="L158" s="247"/>
    </row>
    <row r="159">
      <c r="D159" s="257"/>
      <c r="E159" s="257"/>
      <c r="F159" s="252"/>
      <c r="H159" s="369"/>
      <c r="I159" s="858"/>
      <c r="K159" s="247"/>
      <c r="L159" s="247"/>
    </row>
    <row r="160">
      <c r="D160" s="257"/>
      <c r="E160" s="257"/>
      <c r="F160" s="252"/>
      <c r="H160" s="369"/>
      <c r="I160" s="858"/>
      <c r="K160" s="247"/>
      <c r="L160" s="247"/>
    </row>
    <row r="161">
      <c r="D161" s="257"/>
      <c r="E161" s="257"/>
      <c r="F161" s="252"/>
      <c r="H161" s="369"/>
      <c r="I161" s="858"/>
      <c r="K161" s="247"/>
      <c r="L161" s="247"/>
    </row>
    <row r="162">
      <c r="D162" s="257"/>
      <c r="E162" s="257"/>
      <c r="F162" s="252"/>
      <c r="H162" s="369"/>
      <c r="I162" s="858"/>
      <c r="K162" s="247"/>
      <c r="L162" s="247"/>
    </row>
    <row r="163">
      <c r="D163" s="257"/>
      <c r="E163" s="257"/>
      <c r="F163" s="252"/>
      <c r="H163" s="369"/>
      <c r="I163" s="858"/>
      <c r="K163" s="247"/>
      <c r="L163" s="247"/>
    </row>
    <row r="164">
      <c r="D164" s="257"/>
      <c r="E164" s="257"/>
      <c r="F164" s="252"/>
      <c r="H164" s="369"/>
      <c r="I164" s="858"/>
      <c r="K164" s="247"/>
      <c r="L164" s="247"/>
    </row>
    <row r="165">
      <c r="D165" s="257"/>
      <c r="E165" s="257"/>
      <c r="F165" s="252"/>
      <c r="H165" s="369"/>
      <c r="I165" s="858"/>
      <c r="K165" s="247"/>
      <c r="L165" s="247"/>
    </row>
    <row r="166">
      <c r="D166" s="257"/>
      <c r="E166" s="257"/>
      <c r="F166" s="252"/>
      <c r="H166" s="369"/>
      <c r="I166" s="858"/>
      <c r="K166" s="247"/>
      <c r="L166" s="247"/>
    </row>
    <row r="167">
      <c r="D167" s="257"/>
      <c r="E167" s="257"/>
      <c r="F167" s="252"/>
      <c r="H167" s="369"/>
      <c r="I167" s="858"/>
      <c r="K167" s="247"/>
      <c r="L167" s="247"/>
    </row>
    <row r="168">
      <c r="D168" s="257"/>
      <c r="E168" s="257"/>
      <c r="F168" s="252"/>
      <c r="H168" s="369"/>
      <c r="I168" s="858"/>
      <c r="K168" s="247"/>
      <c r="L168" s="247"/>
    </row>
    <row r="169">
      <c r="D169" s="257"/>
      <c r="E169" s="257"/>
      <c r="F169" s="252"/>
      <c r="H169" s="369"/>
      <c r="I169" s="858"/>
      <c r="K169" s="247"/>
      <c r="L169" s="247"/>
    </row>
    <row r="170">
      <c r="D170" s="257"/>
      <c r="E170" s="257"/>
      <c r="F170" s="252"/>
      <c r="H170" s="369"/>
      <c r="I170" s="858"/>
      <c r="K170" s="247"/>
      <c r="L170" s="247"/>
    </row>
    <row r="171">
      <c r="D171" s="257"/>
      <c r="E171" s="257"/>
      <c r="F171" s="252"/>
      <c r="H171" s="369"/>
      <c r="I171" s="858"/>
      <c r="K171" s="247"/>
      <c r="L171" s="247"/>
    </row>
    <row r="172">
      <c r="D172" s="257"/>
      <c r="E172" s="257"/>
      <c r="F172" s="252"/>
      <c r="H172" s="369"/>
      <c r="I172" s="858"/>
      <c r="K172" s="247"/>
      <c r="L172" s="247"/>
    </row>
    <row r="173">
      <c r="D173" s="257"/>
      <c r="E173" s="257"/>
      <c r="F173" s="252"/>
      <c r="H173" s="369"/>
      <c r="I173" s="858"/>
      <c r="K173" s="247"/>
      <c r="L173" s="247"/>
    </row>
    <row r="174">
      <c r="D174" s="257"/>
      <c r="E174" s="257"/>
      <c r="F174" s="252"/>
      <c r="H174" s="369"/>
      <c r="I174" s="858"/>
      <c r="K174" s="247"/>
      <c r="L174" s="247"/>
    </row>
    <row r="175">
      <c r="D175" s="257"/>
      <c r="E175" s="257"/>
      <c r="F175" s="252"/>
      <c r="H175" s="369"/>
      <c r="I175" s="858"/>
      <c r="K175" s="247"/>
      <c r="L175" s="247"/>
    </row>
    <row r="176">
      <c r="D176" s="257"/>
      <c r="E176" s="257"/>
      <c r="F176" s="252"/>
      <c r="H176" s="369"/>
      <c r="I176" s="858"/>
      <c r="K176" s="247"/>
      <c r="L176" s="247"/>
    </row>
    <row r="177">
      <c r="D177" s="257"/>
      <c r="E177" s="257"/>
      <c r="F177" s="252"/>
      <c r="H177" s="369"/>
      <c r="I177" s="858"/>
      <c r="K177" s="247"/>
      <c r="L177" s="247"/>
    </row>
    <row r="178">
      <c r="D178" s="257"/>
      <c r="E178" s="257"/>
      <c r="F178" s="252"/>
      <c r="H178" s="369"/>
      <c r="I178" s="858"/>
      <c r="K178" s="247"/>
      <c r="L178" s="247"/>
    </row>
    <row r="179">
      <c r="D179" s="257"/>
      <c r="E179" s="257"/>
      <c r="F179" s="252"/>
      <c r="H179" s="369"/>
      <c r="I179" s="858"/>
      <c r="K179" s="247"/>
      <c r="L179" s="247"/>
    </row>
    <row r="180">
      <c r="D180" s="257"/>
      <c r="E180" s="257"/>
      <c r="F180" s="252"/>
      <c r="H180" s="369"/>
      <c r="I180" s="858"/>
      <c r="K180" s="247"/>
      <c r="L180" s="247"/>
    </row>
    <row r="181">
      <c r="D181" s="257"/>
      <c r="E181" s="257"/>
      <c r="F181" s="252"/>
      <c r="H181" s="369"/>
      <c r="I181" s="858"/>
      <c r="K181" s="247"/>
      <c r="L181" s="247"/>
    </row>
    <row r="182">
      <c r="D182" s="257"/>
      <c r="E182" s="257"/>
      <c r="F182" s="252"/>
      <c r="H182" s="369"/>
      <c r="I182" s="858"/>
      <c r="K182" s="247"/>
      <c r="L182" s="247"/>
    </row>
    <row r="183">
      <c r="D183" s="257"/>
      <c r="E183" s="257"/>
      <c r="F183" s="252"/>
      <c r="H183" s="369"/>
      <c r="I183" s="858"/>
      <c r="K183" s="247"/>
      <c r="L183" s="247"/>
    </row>
    <row r="184">
      <c r="D184" s="257"/>
      <c r="E184" s="257"/>
      <c r="F184" s="252"/>
      <c r="H184" s="369"/>
      <c r="I184" s="858"/>
      <c r="K184" s="247"/>
      <c r="L184" s="247"/>
    </row>
    <row r="185">
      <c r="D185" s="257"/>
      <c r="E185" s="257"/>
      <c r="F185" s="252"/>
      <c r="H185" s="369"/>
      <c r="I185" s="858"/>
      <c r="K185" s="247"/>
      <c r="L185" s="247"/>
    </row>
    <row r="186">
      <c r="D186" s="257"/>
      <c r="E186" s="257"/>
      <c r="F186" s="252"/>
      <c r="H186" s="369"/>
      <c r="I186" s="858"/>
      <c r="K186" s="247"/>
      <c r="L186" s="247"/>
    </row>
    <row r="187">
      <c r="D187" s="257"/>
      <c r="E187" s="257"/>
      <c r="F187" s="252"/>
      <c r="H187" s="369"/>
      <c r="I187" s="858"/>
      <c r="K187" s="247"/>
      <c r="L187" s="247"/>
    </row>
    <row r="188">
      <c r="D188" s="257"/>
      <c r="E188" s="257"/>
      <c r="F188" s="252"/>
      <c r="H188" s="369"/>
      <c r="I188" s="858"/>
      <c r="K188" s="247"/>
      <c r="L188" s="247"/>
    </row>
    <row r="189">
      <c r="D189" s="257"/>
      <c r="E189" s="257"/>
      <c r="F189" s="252"/>
      <c r="H189" s="369"/>
      <c r="I189" s="858"/>
      <c r="K189" s="247"/>
      <c r="L189" s="247"/>
    </row>
    <row r="190">
      <c r="D190" s="257"/>
      <c r="E190" s="257"/>
      <c r="F190" s="252"/>
      <c r="H190" s="369"/>
      <c r="I190" s="858"/>
      <c r="K190" s="247"/>
      <c r="L190" s="247"/>
    </row>
    <row r="191">
      <c r="D191" s="257"/>
      <c r="E191" s="257"/>
      <c r="F191" s="252"/>
      <c r="H191" s="369"/>
      <c r="I191" s="858"/>
      <c r="K191" s="247"/>
      <c r="L191" s="247"/>
    </row>
    <row r="192">
      <c r="D192" s="257"/>
      <c r="E192" s="257"/>
      <c r="F192" s="252"/>
      <c r="H192" s="369"/>
      <c r="I192" s="858"/>
      <c r="K192" s="247"/>
      <c r="L192" s="247"/>
    </row>
    <row r="193">
      <c r="D193" s="257"/>
      <c r="E193" s="257"/>
      <c r="F193" s="252"/>
      <c r="H193" s="369"/>
      <c r="I193" s="858"/>
      <c r="K193" s="247"/>
      <c r="L193" s="247"/>
    </row>
    <row r="194">
      <c r="D194" s="257"/>
      <c r="E194" s="257"/>
      <c r="F194" s="252"/>
      <c r="H194" s="369"/>
      <c r="I194" s="858"/>
      <c r="K194" s="247"/>
      <c r="L194" s="247"/>
    </row>
    <row r="195">
      <c r="D195" s="257"/>
      <c r="E195" s="257"/>
      <c r="F195" s="252"/>
      <c r="H195" s="369"/>
      <c r="I195" s="858"/>
      <c r="K195" s="247"/>
      <c r="L195" s="247"/>
    </row>
    <row r="196">
      <c r="D196" s="257"/>
      <c r="E196" s="257"/>
      <c r="F196" s="252"/>
      <c r="H196" s="369"/>
      <c r="I196" s="858"/>
      <c r="K196" s="247"/>
      <c r="L196" s="247"/>
    </row>
    <row r="197">
      <c r="D197" s="257"/>
      <c r="E197" s="257"/>
      <c r="F197" s="252"/>
      <c r="H197" s="369"/>
      <c r="I197" s="858"/>
      <c r="K197" s="247"/>
      <c r="L197" s="247"/>
    </row>
    <row r="198">
      <c r="D198" s="257"/>
      <c r="E198" s="257"/>
      <c r="F198" s="252"/>
      <c r="H198" s="369"/>
      <c r="I198" s="858"/>
      <c r="K198" s="247"/>
      <c r="L198" s="247"/>
    </row>
    <row r="199">
      <c r="D199" s="257"/>
      <c r="E199" s="257"/>
      <c r="F199" s="252"/>
      <c r="H199" s="369"/>
      <c r="I199" s="858"/>
      <c r="K199" s="247"/>
      <c r="L199" s="247"/>
    </row>
    <row r="200">
      <c r="D200" s="257"/>
      <c r="E200" s="257"/>
      <c r="F200" s="252"/>
      <c r="H200" s="369"/>
      <c r="I200" s="858"/>
      <c r="K200" s="247"/>
      <c r="L200" s="247"/>
    </row>
    <row r="201">
      <c r="D201" s="257"/>
      <c r="E201" s="257"/>
      <c r="F201" s="252"/>
      <c r="H201" s="369"/>
      <c r="I201" s="858"/>
      <c r="K201" s="247"/>
      <c r="L201" s="247"/>
    </row>
    <row r="202">
      <c r="D202" s="257"/>
      <c r="E202" s="257"/>
      <c r="F202" s="252"/>
      <c r="H202" s="369"/>
      <c r="I202" s="858"/>
      <c r="K202" s="247"/>
      <c r="L202" s="247"/>
    </row>
    <row r="203">
      <c r="D203" s="257"/>
      <c r="E203" s="257"/>
      <c r="F203" s="252"/>
      <c r="H203" s="369"/>
      <c r="I203" s="858"/>
      <c r="K203" s="247"/>
      <c r="L203" s="247"/>
    </row>
    <row r="204">
      <c r="D204" s="257"/>
      <c r="E204" s="257"/>
      <c r="F204" s="252"/>
      <c r="H204" s="369"/>
      <c r="I204" s="858"/>
      <c r="K204" s="247"/>
      <c r="L204" s="247"/>
    </row>
    <row r="205">
      <c r="D205" s="257"/>
      <c r="E205" s="257"/>
      <c r="F205" s="252"/>
      <c r="H205" s="369"/>
      <c r="I205" s="858"/>
      <c r="K205" s="247"/>
      <c r="L205" s="247"/>
    </row>
    <row r="206">
      <c r="D206" s="257"/>
      <c r="E206" s="257"/>
      <c r="F206" s="252"/>
      <c r="H206" s="369"/>
      <c r="I206" s="858"/>
      <c r="K206" s="247"/>
      <c r="L206" s="247"/>
    </row>
    <row r="207">
      <c r="D207" s="257"/>
      <c r="E207" s="257"/>
      <c r="F207" s="252"/>
      <c r="H207" s="369"/>
      <c r="I207" s="858"/>
      <c r="K207" s="247"/>
      <c r="L207" s="247"/>
    </row>
    <row r="208">
      <c r="D208" s="257"/>
      <c r="E208" s="257"/>
      <c r="F208" s="252"/>
      <c r="H208" s="369"/>
      <c r="I208" s="858"/>
      <c r="K208" s="247"/>
      <c r="L208" s="247"/>
    </row>
    <row r="209">
      <c r="D209" s="257"/>
      <c r="E209" s="257"/>
      <c r="F209" s="252"/>
      <c r="H209" s="369"/>
      <c r="I209" s="858"/>
      <c r="K209" s="247"/>
      <c r="L209" s="247"/>
    </row>
    <row r="210">
      <c r="D210" s="257"/>
      <c r="E210" s="257"/>
      <c r="F210" s="252"/>
      <c r="H210" s="369"/>
      <c r="I210" s="858"/>
      <c r="K210" s="247"/>
      <c r="L210" s="247"/>
    </row>
    <row r="211">
      <c r="D211" s="257"/>
      <c r="E211" s="257"/>
      <c r="F211" s="252"/>
      <c r="H211" s="369"/>
      <c r="I211" s="858"/>
      <c r="K211" s="247"/>
      <c r="L211" s="247"/>
    </row>
    <row r="212">
      <c r="D212" s="257"/>
      <c r="E212" s="257"/>
      <c r="F212" s="252"/>
      <c r="H212" s="369"/>
      <c r="I212" s="858"/>
      <c r="K212" s="247"/>
      <c r="L212" s="247"/>
    </row>
    <row r="213">
      <c r="D213" s="257"/>
      <c r="E213" s="257"/>
      <c r="F213" s="252"/>
      <c r="H213" s="369"/>
      <c r="I213" s="858"/>
      <c r="K213" s="247"/>
      <c r="L213" s="247"/>
    </row>
    <row r="214">
      <c r="D214" s="257"/>
      <c r="E214" s="257"/>
      <c r="F214" s="252"/>
      <c r="H214" s="369"/>
      <c r="I214" s="858"/>
      <c r="K214" s="247"/>
      <c r="L214" s="247"/>
    </row>
    <row r="215">
      <c r="D215" s="257"/>
      <c r="E215" s="257"/>
      <c r="F215" s="252"/>
      <c r="H215" s="369"/>
      <c r="I215" s="858"/>
      <c r="K215" s="247"/>
      <c r="L215" s="247"/>
    </row>
    <row r="216">
      <c r="D216" s="257"/>
      <c r="E216" s="257"/>
      <c r="F216" s="252"/>
      <c r="H216" s="369"/>
      <c r="I216" s="858"/>
      <c r="K216" s="247"/>
      <c r="L216" s="247"/>
    </row>
    <row r="217">
      <c r="D217" s="257"/>
      <c r="E217" s="257"/>
      <c r="F217" s="252"/>
      <c r="H217" s="369"/>
      <c r="I217" s="858"/>
      <c r="K217" s="247"/>
      <c r="L217" s="247"/>
    </row>
    <row r="218">
      <c r="D218" s="257"/>
      <c r="E218" s="257"/>
      <c r="F218" s="252"/>
      <c r="H218" s="369"/>
      <c r="I218" s="858"/>
      <c r="K218" s="247"/>
      <c r="L218" s="247"/>
    </row>
    <row r="219">
      <c r="D219" s="257"/>
      <c r="E219" s="257"/>
      <c r="F219" s="252"/>
      <c r="H219" s="369"/>
      <c r="I219" s="858"/>
      <c r="K219" s="247"/>
      <c r="L219" s="247"/>
    </row>
    <row r="220">
      <c r="D220" s="257"/>
      <c r="E220" s="257"/>
      <c r="F220" s="252"/>
      <c r="H220" s="369"/>
      <c r="I220" s="858"/>
      <c r="K220" s="247"/>
      <c r="L220" s="247"/>
    </row>
    <row r="221">
      <c r="D221" s="257"/>
      <c r="E221" s="257"/>
      <c r="F221" s="252"/>
      <c r="H221" s="369"/>
      <c r="I221" s="858"/>
      <c r="K221" s="247"/>
      <c r="L221" s="247"/>
    </row>
    <row r="222">
      <c r="D222" s="257"/>
      <c r="E222" s="257"/>
      <c r="F222" s="252"/>
      <c r="H222" s="369"/>
      <c r="I222" s="858"/>
      <c r="K222" s="247"/>
      <c r="L222" s="247"/>
    </row>
    <row r="223">
      <c r="D223" s="257"/>
      <c r="E223" s="257"/>
      <c r="F223" s="252"/>
      <c r="H223" s="369"/>
      <c r="I223" s="858"/>
      <c r="K223" s="247"/>
      <c r="L223" s="247"/>
    </row>
    <row r="224">
      <c r="D224" s="257"/>
      <c r="E224" s="257"/>
      <c r="F224" s="252"/>
      <c r="H224" s="369"/>
      <c r="I224" s="858"/>
      <c r="K224" s="247"/>
      <c r="L224" s="247"/>
    </row>
    <row r="225">
      <c r="D225" s="257"/>
      <c r="E225" s="257"/>
      <c r="F225" s="252"/>
      <c r="H225" s="369"/>
      <c r="I225" s="858"/>
      <c r="K225" s="247"/>
      <c r="L225" s="247"/>
    </row>
    <row r="226">
      <c r="D226" s="257"/>
      <c r="E226" s="257"/>
      <c r="F226" s="252"/>
      <c r="H226" s="369"/>
      <c r="I226" s="858"/>
      <c r="K226" s="247"/>
      <c r="L226" s="247"/>
    </row>
    <row r="227">
      <c r="D227" s="257"/>
      <c r="E227" s="257"/>
      <c r="F227" s="252"/>
      <c r="H227" s="369"/>
      <c r="I227" s="858"/>
      <c r="K227" s="247"/>
      <c r="L227" s="247"/>
    </row>
    <row r="228">
      <c r="D228" s="257"/>
      <c r="E228" s="257"/>
      <c r="F228" s="252"/>
      <c r="H228" s="369"/>
      <c r="I228" s="858"/>
      <c r="K228" s="247"/>
      <c r="L228" s="247"/>
    </row>
    <row r="229">
      <c r="D229" s="257"/>
      <c r="E229" s="257"/>
      <c r="F229" s="252"/>
      <c r="H229" s="369"/>
      <c r="I229" s="858"/>
      <c r="K229" s="247"/>
      <c r="L229" s="247"/>
    </row>
    <row r="230">
      <c r="D230" s="257"/>
      <c r="E230" s="257"/>
      <c r="F230" s="252"/>
      <c r="H230" s="369"/>
      <c r="I230" s="858"/>
      <c r="K230" s="247"/>
      <c r="L230" s="247"/>
    </row>
    <row r="231">
      <c r="D231" s="257"/>
      <c r="E231" s="257"/>
      <c r="F231" s="252"/>
      <c r="H231" s="369"/>
      <c r="I231" s="858"/>
      <c r="K231" s="247"/>
      <c r="L231" s="247"/>
    </row>
    <row r="232">
      <c r="D232" s="257"/>
      <c r="E232" s="257"/>
      <c r="F232" s="252"/>
      <c r="H232" s="369"/>
      <c r="I232" s="858"/>
      <c r="K232" s="247"/>
      <c r="L232" s="247"/>
    </row>
    <row r="233">
      <c r="D233" s="257"/>
      <c r="E233" s="257"/>
      <c r="F233" s="252"/>
      <c r="H233" s="369"/>
      <c r="I233" s="858"/>
      <c r="K233" s="247"/>
      <c r="L233" s="247"/>
    </row>
    <row r="234">
      <c r="D234" s="257"/>
      <c r="E234" s="257"/>
      <c r="F234" s="252"/>
      <c r="H234" s="369"/>
      <c r="I234" s="858"/>
      <c r="K234" s="247"/>
      <c r="L234" s="247"/>
    </row>
    <row r="235">
      <c r="D235" s="257"/>
      <c r="E235" s="257"/>
      <c r="F235" s="252"/>
      <c r="H235" s="369"/>
      <c r="I235" s="858"/>
      <c r="K235" s="247"/>
      <c r="L235" s="247"/>
    </row>
    <row r="236">
      <c r="D236" s="257"/>
      <c r="E236" s="257"/>
      <c r="F236" s="252"/>
      <c r="H236" s="369"/>
      <c r="I236" s="858"/>
      <c r="K236" s="247"/>
      <c r="L236" s="247"/>
    </row>
    <row r="237">
      <c r="D237" s="257"/>
      <c r="E237" s="257"/>
      <c r="F237" s="252"/>
      <c r="H237" s="369"/>
      <c r="I237" s="858"/>
      <c r="K237" s="247"/>
      <c r="L237" s="247"/>
    </row>
    <row r="238">
      <c r="D238" s="257"/>
      <c r="E238" s="257"/>
      <c r="F238" s="252"/>
      <c r="H238" s="369"/>
      <c r="I238" s="858"/>
      <c r="K238" s="247"/>
      <c r="L238" s="247"/>
    </row>
    <row r="239">
      <c r="D239" s="257"/>
      <c r="E239" s="257"/>
      <c r="F239" s="252"/>
      <c r="H239" s="369"/>
      <c r="I239" s="858"/>
      <c r="K239" s="247"/>
      <c r="L239" s="247"/>
    </row>
    <row r="240">
      <c r="D240" s="257"/>
      <c r="E240" s="257"/>
      <c r="F240" s="252"/>
      <c r="H240" s="369"/>
      <c r="I240" s="858"/>
      <c r="K240" s="247"/>
      <c r="L240" s="247"/>
    </row>
    <row r="241">
      <c r="D241" s="257"/>
      <c r="E241" s="257"/>
      <c r="F241" s="252"/>
      <c r="H241" s="369"/>
      <c r="I241" s="858"/>
      <c r="K241" s="247"/>
      <c r="L241" s="247"/>
    </row>
    <row r="242">
      <c r="D242" s="257"/>
      <c r="E242" s="257"/>
      <c r="F242" s="252"/>
      <c r="H242" s="369"/>
      <c r="I242" s="858"/>
      <c r="K242" s="247"/>
      <c r="L242" s="247"/>
    </row>
    <row r="243">
      <c r="D243" s="257"/>
      <c r="E243" s="257"/>
      <c r="F243" s="252"/>
      <c r="H243" s="369"/>
      <c r="I243" s="858"/>
      <c r="K243" s="247"/>
      <c r="L243" s="247"/>
    </row>
    <row r="244">
      <c r="D244" s="257"/>
      <c r="E244" s="257"/>
      <c r="F244" s="252"/>
      <c r="H244" s="369"/>
      <c r="I244" s="858"/>
      <c r="K244" s="247"/>
      <c r="L244" s="247"/>
    </row>
    <row r="245">
      <c r="D245" s="257"/>
      <c r="E245" s="257"/>
      <c r="F245" s="252"/>
      <c r="H245" s="369"/>
      <c r="I245" s="858"/>
      <c r="K245" s="247"/>
      <c r="L245" s="247"/>
    </row>
    <row r="246">
      <c r="D246" s="257"/>
      <c r="E246" s="257"/>
      <c r="F246" s="252"/>
      <c r="H246" s="369"/>
      <c r="I246" s="858"/>
      <c r="K246" s="247"/>
      <c r="L246" s="247"/>
    </row>
    <row r="247">
      <c r="D247" s="257"/>
      <c r="E247" s="257"/>
      <c r="F247" s="252"/>
      <c r="H247" s="369"/>
      <c r="I247" s="858"/>
      <c r="K247" s="247"/>
      <c r="L247" s="247"/>
    </row>
    <row r="248">
      <c r="D248" s="257"/>
      <c r="E248" s="257"/>
      <c r="F248" s="252"/>
      <c r="H248" s="369"/>
      <c r="I248" s="858"/>
      <c r="K248" s="247"/>
      <c r="L248" s="247"/>
    </row>
    <row r="249">
      <c r="D249" s="257"/>
      <c r="E249" s="257"/>
      <c r="F249" s="252"/>
      <c r="H249" s="369"/>
      <c r="I249" s="858"/>
      <c r="K249" s="247"/>
      <c r="L249" s="247"/>
    </row>
    <row r="250">
      <c r="D250" s="257"/>
      <c r="E250" s="257"/>
      <c r="F250" s="252"/>
      <c r="H250" s="369"/>
      <c r="I250" s="858"/>
      <c r="K250" s="247"/>
      <c r="L250" s="247"/>
    </row>
    <row r="251">
      <c r="D251" s="257"/>
      <c r="E251" s="257"/>
      <c r="F251" s="252"/>
      <c r="H251" s="369"/>
      <c r="I251" s="858"/>
      <c r="K251" s="247"/>
      <c r="L251" s="247"/>
    </row>
    <row r="252">
      <c r="D252" s="257"/>
      <c r="E252" s="257"/>
      <c r="F252" s="252"/>
      <c r="H252" s="369"/>
      <c r="I252" s="858"/>
      <c r="K252" s="247"/>
      <c r="L252" s="247"/>
    </row>
    <row r="253">
      <c r="D253" s="257"/>
      <c r="E253" s="257"/>
      <c r="F253" s="252"/>
      <c r="H253" s="369"/>
      <c r="I253" s="858"/>
      <c r="K253" s="247"/>
      <c r="L253" s="247"/>
    </row>
    <row r="254">
      <c r="D254" s="257"/>
      <c r="E254" s="257"/>
      <c r="F254" s="252"/>
      <c r="H254" s="369"/>
      <c r="I254" s="858"/>
      <c r="K254" s="247"/>
      <c r="L254" s="247"/>
    </row>
    <row r="255">
      <c r="D255" s="257"/>
      <c r="E255" s="257"/>
      <c r="F255" s="252"/>
      <c r="H255" s="369"/>
      <c r="I255" s="858"/>
      <c r="K255" s="247"/>
      <c r="L255" s="247"/>
    </row>
    <row r="256">
      <c r="D256" s="257"/>
      <c r="E256" s="257"/>
      <c r="F256" s="252"/>
      <c r="H256" s="369"/>
      <c r="I256" s="858"/>
      <c r="K256" s="247"/>
      <c r="L256" s="247"/>
    </row>
    <row r="257">
      <c r="D257" s="257"/>
      <c r="E257" s="257"/>
      <c r="F257" s="252"/>
      <c r="H257" s="369"/>
      <c r="I257" s="858"/>
      <c r="K257" s="247"/>
      <c r="L257" s="247"/>
    </row>
    <row r="258">
      <c r="D258" s="257"/>
      <c r="E258" s="257"/>
      <c r="F258" s="252"/>
      <c r="H258" s="369"/>
      <c r="I258" s="858"/>
      <c r="K258" s="247"/>
      <c r="L258" s="247"/>
    </row>
    <row r="259">
      <c r="D259" s="257"/>
      <c r="E259" s="257"/>
      <c r="F259" s="252"/>
      <c r="H259" s="369"/>
      <c r="I259" s="858"/>
      <c r="K259" s="247"/>
      <c r="L259" s="247"/>
    </row>
    <row r="260">
      <c r="D260" s="257"/>
      <c r="E260" s="257"/>
      <c r="F260" s="252"/>
      <c r="H260" s="369"/>
      <c r="I260" s="858"/>
      <c r="K260" s="247"/>
      <c r="L260" s="247"/>
    </row>
    <row r="261">
      <c r="D261" s="257"/>
      <c r="E261" s="257"/>
      <c r="F261" s="252"/>
      <c r="H261" s="369"/>
      <c r="I261" s="858"/>
      <c r="K261" s="247"/>
      <c r="L261" s="247"/>
    </row>
    <row r="262">
      <c r="D262" s="257"/>
      <c r="E262" s="257"/>
      <c r="F262" s="252"/>
      <c r="H262" s="369"/>
      <c r="I262" s="858"/>
      <c r="K262" s="247"/>
      <c r="L262" s="247"/>
    </row>
    <row r="263">
      <c r="D263" s="257"/>
      <c r="E263" s="257"/>
      <c r="F263" s="252"/>
      <c r="H263" s="369"/>
      <c r="I263" s="858"/>
      <c r="K263" s="247"/>
      <c r="L263" s="247"/>
    </row>
    <row r="264">
      <c r="D264" s="257"/>
      <c r="E264" s="257"/>
      <c r="F264" s="252"/>
      <c r="H264" s="369"/>
      <c r="I264" s="858"/>
      <c r="K264" s="247"/>
      <c r="L264" s="247"/>
    </row>
    <row r="265">
      <c r="D265" s="257"/>
      <c r="E265" s="257"/>
      <c r="F265" s="252"/>
      <c r="H265" s="369"/>
      <c r="I265" s="858"/>
      <c r="K265" s="247"/>
      <c r="L265" s="247"/>
    </row>
    <row r="266">
      <c r="D266" s="257"/>
      <c r="E266" s="257"/>
      <c r="F266" s="252"/>
      <c r="H266" s="369"/>
      <c r="I266" s="858"/>
      <c r="K266" s="247"/>
      <c r="L266" s="247"/>
    </row>
    <row r="267">
      <c r="D267" s="257"/>
      <c r="E267" s="257"/>
      <c r="F267" s="252"/>
      <c r="H267" s="369"/>
      <c r="I267" s="858"/>
      <c r="K267" s="247"/>
      <c r="L267" s="247"/>
    </row>
    <row r="268">
      <c r="D268" s="257"/>
      <c r="E268" s="257"/>
      <c r="F268" s="252"/>
      <c r="H268" s="369"/>
      <c r="I268" s="858"/>
      <c r="K268" s="247"/>
      <c r="L268" s="247"/>
    </row>
    <row r="269">
      <c r="D269" s="257"/>
      <c r="E269" s="257"/>
      <c r="F269" s="252"/>
      <c r="H269" s="369"/>
      <c r="I269" s="858"/>
      <c r="K269" s="247"/>
      <c r="L269" s="247"/>
    </row>
    <row r="270">
      <c r="D270" s="257"/>
      <c r="E270" s="257"/>
      <c r="F270" s="252"/>
      <c r="H270" s="369"/>
      <c r="I270" s="858"/>
      <c r="K270" s="247"/>
      <c r="L270" s="247"/>
    </row>
    <row r="271">
      <c r="D271" s="257"/>
      <c r="E271" s="257"/>
      <c r="F271" s="252"/>
      <c r="H271" s="369"/>
      <c r="I271" s="858"/>
      <c r="K271" s="247"/>
      <c r="L271" s="247"/>
    </row>
    <row r="272">
      <c r="D272" s="257"/>
      <c r="E272" s="257"/>
      <c r="F272" s="252"/>
      <c r="H272" s="369"/>
      <c r="I272" s="858"/>
      <c r="K272" s="247"/>
      <c r="L272" s="247"/>
    </row>
    <row r="273">
      <c r="D273" s="257"/>
      <c r="E273" s="257"/>
      <c r="F273" s="252"/>
      <c r="H273" s="369"/>
      <c r="I273" s="858"/>
      <c r="K273" s="247"/>
      <c r="L273" s="247"/>
    </row>
    <row r="274">
      <c r="D274" s="257"/>
      <c r="E274" s="257"/>
      <c r="F274" s="252"/>
      <c r="H274" s="369"/>
      <c r="I274" s="858"/>
      <c r="K274" s="247"/>
      <c r="L274" s="247"/>
    </row>
    <row r="275">
      <c r="D275" s="257"/>
      <c r="E275" s="257"/>
      <c r="F275" s="252"/>
      <c r="H275" s="369"/>
      <c r="I275" s="858"/>
      <c r="K275" s="247"/>
      <c r="L275" s="247"/>
    </row>
    <row r="276">
      <c r="D276" s="257"/>
      <c r="E276" s="257"/>
      <c r="F276" s="252"/>
      <c r="H276" s="369"/>
      <c r="I276" s="858"/>
      <c r="K276" s="247"/>
      <c r="L276" s="247"/>
    </row>
    <row r="277">
      <c r="D277" s="257"/>
      <c r="E277" s="257"/>
      <c r="F277" s="252"/>
      <c r="H277" s="369"/>
      <c r="I277" s="858"/>
      <c r="K277" s="247"/>
      <c r="L277" s="247"/>
    </row>
    <row r="278">
      <c r="D278" s="257"/>
      <c r="E278" s="257"/>
      <c r="F278" s="252"/>
      <c r="H278" s="369"/>
      <c r="I278" s="858"/>
      <c r="K278" s="247"/>
      <c r="L278" s="247"/>
    </row>
    <row r="279">
      <c r="D279" s="257"/>
      <c r="E279" s="257"/>
      <c r="F279" s="252"/>
      <c r="H279" s="369"/>
      <c r="I279" s="858"/>
      <c r="K279" s="247"/>
      <c r="L279" s="247"/>
    </row>
    <row r="280">
      <c r="D280" s="257"/>
      <c r="E280" s="257"/>
      <c r="F280" s="252"/>
      <c r="H280" s="369"/>
      <c r="I280" s="858"/>
      <c r="K280" s="247"/>
      <c r="L280" s="247"/>
    </row>
    <row r="281">
      <c r="D281" s="257"/>
      <c r="E281" s="257"/>
      <c r="F281" s="252"/>
      <c r="H281" s="369"/>
      <c r="I281" s="858"/>
      <c r="K281" s="247"/>
      <c r="L281" s="247"/>
    </row>
    <row r="282">
      <c r="D282" s="257"/>
      <c r="E282" s="257"/>
      <c r="F282" s="252"/>
      <c r="H282" s="369"/>
      <c r="I282" s="858"/>
      <c r="K282" s="247"/>
      <c r="L282" s="247"/>
    </row>
    <row r="283">
      <c r="D283" s="257"/>
      <c r="E283" s="257"/>
      <c r="F283" s="252"/>
      <c r="H283" s="369"/>
      <c r="I283" s="858"/>
      <c r="K283" s="247"/>
      <c r="L283" s="247"/>
    </row>
    <row r="284">
      <c r="D284" s="257"/>
      <c r="E284" s="257"/>
      <c r="F284" s="252"/>
      <c r="H284" s="369"/>
      <c r="I284" s="858"/>
      <c r="K284" s="247"/>
      <c r="L284" s="247"/>
    </row>
    <row r="285">
      <c r="D285" s="257"/>
      <c r="E285" s="257"/>
      <c r="F285" s="252"/>
      <c r="H285" s="369"/>
      <c r="I285" s="858"/>
      <c r="K285" s="247"/>
      <c r="L285" s="247"/>
    </row>
    <row r="286">
      <c r="D286" s="257"/>
      <c r="E286" s="257"/>
      <c r="F286" s="252"/>
      <c r="H286" s="369"/>
      <c r="I286" s="858"/>
      <c r="K286" s="247"/>
      <c r="L286" s="247"/>
    </row>
    <row r="287">
      <c r="D287" s="257"/>
      <c r="E287" s="257"/>
      <c r="F287" s="252"/>
      <c r="H287" s="369"/>
      <c r="I287" s="858"/>
      <c r="K287" s="247"/>
      <c r="L287" s="247"/>
    </row>
    <row r="288">
      <c r="D288" s="257"/>
      <c r="E288" s="257"/>
      <c r="F288" s="252"/>
      <c r="H288" s="369"/>
      <c r="I288" s="858"/>
      <c r="K288" s="247"/>
      <c r="L288" s="247"/>
    </row>
    <row r="289">
      <c r="D289" s="257"/>
      <c r="E289" s="257"/>
      <c r="F289" s="252"/>
      <c r="H289" s="369"/>
      <c r="I289" s="858"/>
      <c r="K289" s="247"/>
      <c r="L289" s="247"/>
    </row>
    <row r="290">
      <c r="D290" s="257"/>
      <c r="E290" s="257"/>
      <c r="F290" s="252"/>
      <c r="H290" s="369"/>
      <c r="I290" s="858"/>
      <c r="K290" s="247"/>
      <c r="L290" s="247"/>
    </row>
    <row r="291">
      <c r="D291" s="257"/>
      <c r="E291" s="257"/>
      <c r="F291" s="252"/>
      <c r="H291" s="369"/>
      <c r="I291" s="858"/>
      <c r="K291" s="247"/>
      <c r="L291" s="247"/>
    </row>
    <row r="292">
      <c r="D292" s="257"/>
      <c r="E292" s="257"/>
      <c r="F292" s="252"/>
      <c r="H292" s="369"/>
      <c r="I292" s="858"/>
      <c r="K292" s="247"/>
      <c r="L292" s="247"/>
    </row>
    <row r="293">
      <c r="D293" s="257"/>
      <c r="E293" s="257"/>
      <c r="F293" s="252"/>
      <c r="H293" s="369"/>
      <c r="I293" s="858"/>
      <c r="K293" s="247"/>
      <c r="L293" s="247"/>
    </row>
    <row r="294">
      <c r="D294" s="257"/>
      <c r="E294" s="257"/>
      <c r="F294" s="252"/>
      <c r="H294" s="369"/>
      <c r="I294" s="858"/>
      <c r="K294" s="247"/>
      <c r="L294" s="247"/>
    </row>
    <row r="295">
      <c r="D295" s="257"/>
      <c r="E295" s="257"/>
      <c r="F295" s="252"/>
      <c r="H295" s="369"/>
      <c r="I295" s="858"/>
      <c r="K295" s="247"/>
      <c r="L295" s="247"/>
    </row>
    <row r="296">
      <c r="D296" s="257"/>
      <c r="E296" s="257"/>
      <c r="F296" s="252"/>
      <c r="H296" s="369"/>
      <c r="I296" s="858"/>
      <c r="K296" s="247"/>
      <c r="L296" s="247"/>
    </row>
    <row r="297">
      <c r="D297" s="257"/>
      <c r="E297" s="257"/>
      <c r="F297" s="252"/>
      <c r="H297" s="369"/>
      <c r="I297" s="858"/>
      <c r="K297" s="247"/>
      <c r="L297" s="247"/>
    </row>
    <row r="298">
      <c r="D298" s="257"/>
      <c r="E298" s="257"/>
      <c r="F298" s="252"/>
      <c r="H298" s="369"/>
      <c r="I298" s="858"/>
      <c r="K298" s="247"/>
      <c r="L298" s="247"/>
    </row>
    <row r="299">
      <c r="D299" s="257"/>
      <c r="E299" s="257"/>
      <c r="F299" s="252"/>
      <c r="H299" s="369"/>
      <c r="I299" s="858"/>
      <c r="K299" s="247"/>
      <c r="L299" s="247"/>
    </row>
    <row r="300">
      <c r="D300" s="257"/>
      <c r="E300" s="257"/>
      <c r="F300" s="252"/>
      <c r="H300" s="369"/>
      <c r="I300" s="858"/>
      <c r="K300" s="247"/>
      <c r="L300" s="247"/>
    </row>
    <row r="301">
      <c r="D301" s="257"/>
      <c r="E301" s="257"/>
      <c r="F301" s="252"/>
      <c r="H301" s="369"/>
      <c r="I301" s="858"/>
      <c r="K301" s="247"/>
      <c r="L301" s="247"/>
    </row>
    <row r="302">
      <c r="D302" s="257"/>
      <c r="E302" s="257"/>
      <c r="F302" s="252"/>
      <c r="H302" s="369"/>
      <c r="I302" s="858"/>
      <c r="K302" s="247"/>
      <c r="L302" s="247"/>
    </row>
    <row r="303">
      <c r="D303" s="257"/>
      <c r="E303" s="257"/>
      <c r="F303" s="252"/>
      <c r="H303" s="369"/>
      <c r="I303" s="858"/>
      <c r="K303" s="247"/>
      <c r="L303" s="247"/>
    </row>
    <row r="304">
      <c r="D304" s="257"/>
      <c r="E304" s="257"/>
      <c r="F304" s="252"/>
      <c r="H304" s="369"/>
      <c r="I304" s="858"/>
      <c r="K304" s="247"/>
      <c r="L304" s="247"/>
    </row>
    <row r="305">
      <c r="D305" s="257"/>
      <c r="E305" s="257"/>
      <c r="F305" s="252"/>
      <c r="H305" s="369"/>
      <c r="I305" s="858"/>
      <c r="K305" s="247"/>
      <c r="L305" s="247"/>
    </row>
    <row r="306">
      <c r="D306" s="257"/>
      <c r="E306" s="257"/>
      <c r="F306" s="252"/>
      <c r="H306" s="369"/>
      <c r="I306" s="858"/>
      <c r="K306" s="247"/>
      <c r="L306" s="247"/>
    </row>
    <row r="307">
      <c r="D307" s="257"/>
      <c r="E307" s="257"/>
      <c r="F307" s="252"/>
      <c r="H307" s="369"/>
      <c r="I307" s="858"/>
      <c r="K307" s="247"/>
      <c r="L307" s="247"/>
    </row>
    <row r="308">
      <c r="D308" s="257"/>
      <c r="E308" s="257"/>
      <c r="F308" s="252"/>
      <c r="H308" s="369"/>
      <c r="I308" s="858"/>
      <c r="K308" s="247"/>
      <c r="L308" s="247"/>
    </row>
    <row r="309">
      <c r="D309" s="257"/>
      <c r="E309" s="257"/>
      <c r="F309" s="252"/>
      <c r="H309" s="369"/>
      <c r="I309" s="858"/>
      <c r="K309" s="247"/>
      <c r="L309" s="247"/>
    </row>
    <row r="310">
      <c r="D310" s="257"/>
      <c r="E310" s="257"/>
      <c r="F310" s="252"/>
      <c r="H310" s="369"/>
      <c r="I310" s="858"/>
      <c r="K310" s="247"/>
      <c r="L310" s="247"/>
    </row>
    <row r="311">
      <c r="D311" s="257"/>
      <c r="E311" s="257"/>
      <c r="F311" s="252"/>
      <c r="H311" s="369"/>
      <c r="I311" s="858"/>
      <c r="K311" s="247"/>
      <c r="L311" s="247"/>
    </row>
    <row r="312">
      <c r="D312" s="257"/>
      <c r="E312" s="257"/>
      <c r="F312" s="252"/>
      <c r="H312" s="369"/>
      <c r="I312" s="858"/>
      <c r="K312" s="247"/>
      <c r="L312" s="247"/>
    </row>
    <row r="313">
      <c r="D313" s="257"/>
      <c r="E313" s="257"/>
      <c r="F313" s="252"/>
      <c r="H313" s="369"/>
      <c r="I313" s="858"/>
      <c r="K313" s="247"/>
      <c r="L313" s="247"/>
    </row>
    <row r="314">
      <c r="D314" s="257"/>
      <c r="E314" s="257"/>
      <c r="F314" s="252"/>
      <c r="H314" s="369"/>
      <c r="I314" s="858"/>
      <c r="K314" s="247"/>
      <c r="L314" s="247"/>
    </row>
    <row r="315">
      <c r="D315" s="257"/>
      <c r="E315" s="257"/>
      <c r="F315" s="252"/>
      <c r="H315" s="369"/>
      <c r="I315" s="858"/>
      <c r="K315" s="247"/>
      <c r="L315" s="247"/>
    </row>
    <row r="316">
      <c r="D316" s="257"/>
      <c r="E316" s="257"/>
      <c r="F316" s="252"/>
      <c r="H316" s="369"/>
      <c r="I316" s="858"/>
      <c r="K316" s="247"/>
      <c r="L316" s="247"/>
    </row>
    <row r="317">
      <c r="D317" s="257"/>
      <c r="E317" s="257"/>
      <c r="F317" s="252"/>
      <c r="H317" s="369"/>
      <c r="I317" s="858"/>
      <c r="K317" s="247"/>
      <c r="L317" s="247"/>
    </row>
    <row r="318">
      <c r="D318" s="257"/>
      <c r="E318" s="257"/>
      <c r="F318" s="252"/>
      <c r="H318" s="369"/>
      <c r="I318" s="858"/>
      <c r="K318" s="247"/>
      <c r="L318" s="247"/>
    </row>
    <row r="319">
      <c r="D319" s="257"/>
      <c r="E319" s="257"/>
      <c r="F319" s="252"/>
      <c r="H319" s="369"/>
      <c r="I319" s="858"/>
      <c r="K319" s="247"/>
      <c r="L319" s="247"/>
    </row>
    <row r="320">
      <c r="D320" s="257"/>
      <c r="E320" s="257"/>
      <c r="F320" s="252"/>
      <c r="H320" s="369"/>
      <c r="I320" s="858"/>
      <c r="K320" s="247"/>
      <c r="L320" s="247"/>
    </row>
    <row r="321">
      <c r="D321" s="257"/>
      <c r="E321" s="257"/>
      <c r="F321" s="252"/>
      <c r="H321" s="369"/>
      <c r="I321" s="858"/>
      <c r="K321" s="247"/>
      <c r="L321" s="247"/>
    </row>
    <row r="322">
      <c r="D322" s="257"/>
      <c r="E322" s="257"/>
      <c r="F322" s="252"/>
      <c r="H322" s="369"/>
      <c r="I322" s="858"/>
      <c r="K322" s="247"/>
      <c r="L322" s="247"/>
    </row>
    <row r="323">
      <c r="D323" s="257"/>
      <c r="E323" s="257"/>
      <c r="F323" s="252"/>
      <c r="H323" s="369"/>
      <c r="I323" s="858"/>
      <c r="K323" s="247"/>
      <c r="L323" s="247"/>
    </row>
    <row r="324">
      <c r="D324" s="257"/>
      <c r="E324" s="257"/>
      <c r="F324" s="252"/>
      <c r="H324" s="369"/>
      <c r="I324" s="858"/>
      <c r="K324" s="247"/>
      <c r="L324" s="247"/>
    </row>
    <row r="325">
      <c r="D325" s="257"/>
      <c r="E325" s="257"/>
      <c r="F325" s="252"/>
      <c r="H325" s="369"/>
      <c r="I325" s="858"/>
      <c r="K325" s="247"/>
      <c r="L325" s="247"/>
    </row>
    <row r="326">
      <c r="D326" s="257"/>
      <c r="E326" s="257"/>
      <c r="F326" s="252"/>
      <c r="H326" s="369"/>
      <c r="I326" s="858"/>
      <c r="K326" s="247"/>
      <c r="L326" s="247"/>
    </row>
    <row r="327">
      <c r="D327" s="257"/>
      <c r="E327" s="257"/>
      <c r="F327" s="252"/>
      <c r="H327" s="369"/>
      <c r="I327" s="858"/>
      <c r="K327" s="247"/>
      <c r="L327" s="247"/>
    </row>
    <row r="328">
      <c r="D328" s="257"/>
      <c r="E328" s="257"/>
      <c r="F328" s="252"/>
      <c r="H328" s="369"/>
      <c r="I328" s="858"/>
      <c r="K328" s="247"/>
      <c r="L328" s="247"/>
    </row>
    <row r="329">
      <c r="D329" s="257"/>
      <c r="E329" s="257"/>
      <c r="F329" s="252"/>
      <c r="H329" s="369"/>
      <c r="I329" s="858"/>
      <c r="K329" s="247"/>
      <c r="L329" s="247"/>
    </row>
    <row r="330">
      <c r="D330" s="257"/>
      <c r="E330" s="257"/>
      <c r="F330" s="252"/>
      <c r="H330" s="369"/>
      <c r="I330" s="858"/>
      <c r="K330" s="247"/>
      <c r="L330" s="247"/>
    </row>
    <row r="331">
      <c r="D331" s="257"/>
      <c r="E331" s="257"/>
      <c r="F331" s="252"/>
      <c r="H331" s="369"/>
      <c r="I331" s="858"/>
      <c r="K331" s="247"/>
      <c r="L331" s="247"/>
    </row>
    <row r="332">
      <c r="D332" s="257"/>
      <c r="E332" s="257"/>
      <c r="F332" s="252"/>
      <c r="H332" s="369"/>
      <c r="I332" s="858"/>
      <c r="K332" s="247"/>
      <c r="L332" s="247"/>
    </row>
    <row r="333">
      <c r="D333" s="257"/>
      <c r="E333" s="257"/>
      <c r="F333" s="252"/>
      <c r="H333" s="369"/>
      <c r="I333" s="858"/>
      <c r="K333" s="247"/>
      <c r="L333" s="247"/>
    </row>
    <row r="334">
      <c r="D334" s="257"/>
      <c r="E334" s="257"/>
      <c r="F334" s="252"/>
      <c r="H334" s="369"/>
      <c r="I334" s="858"/>
      <c r="K334" s="247"/>
      <c r="L334" s="247"/>
    </row>
    <row r="335">
      <c r="D335" s="257"/>
      <c r="E335" s="257"/>
      <c r="F335" s="252"/>
      <c r="H335" s="369"/>
      <c r="I335" s="858"/>
      <c r="K335" s="247"/>
      <c r="L335" s="247"/>
    </row>
    <row r="336">
      <c r="D336" s="257"/>
      <c r="E336" s="257"/>
      <c r="F336" s="252"/>
      <c r="H336" s="369"/>
      <c r="I336" s="858"/>
      <c r="K336" s="247"/>
      <c r="L336" s="247"/>
    </row>
    <row r="337">
      <c r="D337" s="257"/>
      <c r="E337" s="257"/>
      <c r="F337" s="252"/>
      <c r="H337" s="369"/>
      <c r="I337" s="858"/>
      <c r="K337" s="247"/>
      <c r="L337" s="247"/>
    </row>
    <row r="338">
      <c r="D338" s="257"/>
      <c r="E338" s="257"/>
      <c r="F338" s="252"/>
      <c r="H338" s="369"/>
      <c r="I338" s="858"/>
      <c r="K338" s="247"/>
      <c r="L338" s="247"/>
    </row>
    <row r="339">
      <c r="D339" s="257"/>
      <c r="E339" s="257"/>
      <c r="F339" s="252"/>
      <c r="H339" s="369"/>
      <c r="I339" s="858"/>
      <c r="K339" s="247"/>
      <c r="L339" s="247"/>
    </row>
    <row r="340">
      <c r="D340" s="257"/>
      <c r="E340" s="257"/>
      <c r="F340" s="252"/>
      <c r="H340" s="369"/>
      <c r="I340" s="858"/>
      <c r="K340" s="247"/>
      <c r="L340" s="247"/>
    </row>
    <row r="341">
      <c r="D341" s="257"/>
      <c r="E341" s="257"/>
      <c r="F341" s="252"/>
      <c r="H341" s="369"/>
      <c r="I341" s="858"/>
      <c r="K341" s="247"/>
      <c r="L341" s="247"/>
    </row>
    <row r="342">
      <c r="D342" s="257"/>
      <c r="E342" s="257"/>
      <c r="F342" s="252"/>
      <c r="H342" s="369"/>
      <c r="I342" s="858"/>
      <c r="K342" s="247"/>
      <c r="L342" s="247"/>
    </row>
    <row r="343">
      <c r="D343" s="257"/>
      <c r="E343" s="257"/>
      <c r="F343" s="252"/>
      <c r="H343" s="369"/>
      <c r="I343" s="858"/>
      <c r="K343" s="247"/>
      <c r="L343" s="247"/>
    </row>
    <row r="344">
      <c r="D344" s="257"/>
      <c r="E344" s="257"/>
      <c r="F344" s="252"/>
      <c r="H344" s="369"/>
      <c r="I344" s="858"/>
      <c r="K344" s="247"/>
      <c r="L344" s="247"/>
    </row>
    <row r="345">
      <c r="D345" s="257"/>
      <c r="E345" s="257"/>
      <c r="F345" s="252"/>
      <c r="H345" s="369"/>
      <c r="I345" s="858"/>
      <c r="K345" s="247"/>
      <c r="L345" s="247"/>
    </row>
    <row r="346">
      <c r="D346" s="257"/>
      <c r="E346" s="257"/>
      <c r="F346" s="252"/>
      <c r="H346" s="369"/>
      <c r="I346" s="858"/>
      <c r="K346" s="247"/>
      <c r="L346" s="247"/>
    </row>
    <row r="347">
      <c r="D347" s="257"/>
      <c r="E347" s="257"/>
      <c r="F347" s="252"/>
      <c r="H347" s="369"/>
      <c r="I347" s="858"/>
      <c r="K347" s="247"/>
      <c r="L347" s="247"/>
    </row>
    <row r="348">
      <c r="D348" s="257"/>
      <c r="E348" s="257"/>
      <c r="F348" s="252"/>
      <c r="H348" s="369"/>
      <c r="I348" s="858"/>
      <c r="K348" s="247"/>
      <c r="L348" s="247"/>
    </row>
    <row r="349">
      <c r="D349" s="257"/>
      <c r="E349" s="257"/>
      <c r="F349" s="252"/>
      <c r="H349" s="369"/>
      <c r="I349" s="858"/>
      <c r="K349" s="247"/>
      <c r="L349" s="247"/>
    </row>
    <row r="350">
      <c r="D350" s="257"/>
      <c r="E350" s="257"/>
      <c r="F350" s="252"/>
      <c r="H350" s="369"/>
      <c r="I350" s="858"/>
      <c r="K350" s="247"/>
      <c r="L350" s="247"/>
    </row>
    <row r="351">
      <c r="D351" s="257"/>
      <c r="E351" s="257"/>
      <c r="F351" s="252"/>
      <c r="H351" s="369"/>
      <c r="I351" s="858"/>
      <c r="K351" s="247"/>
      <c r="L351" s="247"/>
    </row>
    <row r="352">
      <c r="D352" s="257"/>
      <c r="E352" s="257"/>
      <c r="F352" s="252"/>
      <c r="H352" s="369"/>
      <c r="I352" s="858"/>
      <c r="K352" s="247"/>
      <c r="L352" s="247"/>
    </row>
    <row r="353">
      <c r="D353" s="257"/>
      <c r="E353" s="257"/>
      <c r="F353" s="252"/>
      <c r="H353" s="369"/>
      <c r="I353" s="858"/>
      <c r="K353" s="247"/>
      <c r="L353" s="247"/>
    </row>
    <row r="354">
      <c r="D354" s="257"/>
      <c r="E354" s="257"/>
      <c r="F354" s="252"/>
      <c r="H354" s="369"/>
      <c r="I354" s="858"/>
      <c r="K354" s="247"/>
      <c r="L354" s="247"/>
    </row>
    <row r="355">
      <c r="D355" s="257"/>
      <c r="E355" s="257"/>
      <c r="F355" s="252"/>
      <c r="H355" s="369"/>
      <c r="I355" s="858"/>
      <c r="K355" s="247"/>
      <c r="L355" s="247"/>
    </row>
    <row r="356">
      <c r="D356" s="257"/>
      <c r="E356" s="257"/>
      <c r="F356" s="252"/>
      <c r="H356" s="369"/>
      <c r="I356" s="858"/>
      <c r="K356" s="247"/>
      <c r="L356" s="247"/>
    </row>
    <row r="357">
      <c r="D357" s="257"/>
      <c r="E357" s="257"/>
      <c r="F357" s="252"/>
      <c r="H357" s="369"/>
      <c r="I357" s="858"/>
      <c r="K357" s="247"/>
      <c r="L357" s="247"/>
    </row>
    <row r="358">
      <c r="D358" s="257"/>
      <c r="E358" s="257"/>
      <c r="F358" s="252"/>
      <c r="H358" s="369"/>
      <c r="I358" s="858"/>
      <c r="K358" s="247"/>
      <c r="L358" s="247"/>
    </row>
    <row r="359">
      <c r="D359" s="257"/>
      <c r="E359" s="257"/>
      <c r="F359" s="252"/>
      <c r="H359" s="369"/>
      <c r="I359" s="858"/>
      <c r="K359" s="247"/>
      <c r="L359" s="247"/>
    </row>
    <row r="360">
      <c r="D360" s="257"/>
      <c r="E360" s="257"/>
      <c r="F360" s="252"/>
      <c r="H360" s="369"/>
      <c r="I360" s="858"/>
      <c r="K360" s="247"/>
      <c r="L360" s="247"/>
    </row>
    <row r="361">
      <c r="D361" s="257"/>
      <c r="E361" s="257"/>
      <c r="F361" s="252"/>
      <c r="H361" s="369"/>
      <c r="I361" s="858"/>
      <c r="K361" s="247"/>
      <c r="L361" s="247"/>
    </row>
    <row r="362">
      <c r="D362" s="257"/>
      <c r="E362" s="257"/>
      <c r="F362" s="252"/>
      <c r="H362" s="369"/>
      <c r="I362" s="858"/>
      <c r="K362" s="247"/>
      <c r="L362" s="247"/>
    </row>
    <row r="363">
      <c r="D363" s="257"/>
      <c r="E363" s="257"/>
      <c r="F363" s="252"/>
      <c r="H363" s="369"/>
      <c r="I363" s="858"/>
      <c r="K363" s="247"/>
      <c r="L363" s="247"/>
    </row>
    <row r="364">
      <c r="D364" s="257"/>
      <c r="E364" s="257"/>
      <c r="F364" s="252"/>
      <c r="H364" s="369"/>
      <c r="I364" s="858"/>
      <c r="K364" s="247"/>
      <c r="L364" s="247"/>
    </row>
    <row r="365">
      <c r="D365" s="257"/>
      <c r="E365" s="257"/>
      <c r="F365" s="252"/>
      <c r="H365" s="369"/>
      <c r="I365" s="858"/>
      <c r="K365" s="247"/>
      <c r="L365" s="247"/>
    </row>
    <row r="366">
      <c r="D366" s="257"/>
      <c r="E366" s="257"/>
      <c r="F366" s="252"/>
      <c r="H366" s="369"/>
      <c r="I366" s="858"/>
      <c r="K366" s="247"/>
      <c r="L366" s="247"/>
    </row>
    <row r="367">
      <c r="D367" s="257"/>
      <c r="E367" s="257"/>
      <c r="F367" s="252"/>
      <c r="H367" s="369"/>
      <c r="I367" s="858"/>
      <c r="K367" s="247"/>
      <c r="L367" s="247"/>
    </row>
    <row r="368">
      <c r="D368" s="257"/>
      <c r="E368" s="257"/>
      <c r="F368" s="252"/>
      <c r="H368" s="369"/>
      <c r="I368" s="858"/>
      <c r="K368" s="247"/>
      <c r="L368" s="247"/>
    </row>
    <row r="369">
      <c r="D369" s="257"/>
      <c r="E369" s="257"/>
      <c r="F369" s="252"/>
      <c r="H369" s="369"/>
      <c r="I369" s="858"/>
      <c r="K369" s="247"/>
      <c r="L369" s="247"/>
    </row>
    <row r="370">
      <c r="D370" s="257"/>
      <c r="E370" s="257"/>
      <c r="F370" s="252"/>
      <c r="H370" s="369"/>
      <c r="I370" s="858"/>
      <c r="K370" s="247"/>
      <c r="L370" s="247"/>
    </row>
    <row r="371">
      <c r="D371" s="257"/>
      <c r="E371" s="257"/>
      <c r="F371" s="252"/>
      <c r="H371" s="369"/>
      <c r="I371" s="858"/>
      <c r="K371" s="247"/>
      <c r="L371" s="247"/>
    </row>
    <row r="372">
      <c r="D372" s="257"/>
      <c r="E372" s="257"/>
      <c r="F372" s="252"/>
      <c r="H372" s="369"/>
      <c r="I372" s="858"/>
      <c r="K372" s="247"/>
      <c r="L372" s="247"/>
    </row>
    <row r="373">
      <c r="D373" s="257"/>
      <c r="E373" s="257"/>
      <c r="F373" s="252"/>
      <c r="H373" s="369"/>
      <c r="I373" s="858"/>
      <c r="K373" s="247"/>
      <c r="L373" s="247"/>
    </row>
    <row r="374">
      <c r="D374" s="257"/>
      <c r="E374" s="257"/>
      <c r="F374" s="252"/>
      <c r="H374" s="369"/>
      <c r="I374" s="858"/>
      <c r="K374" s="247"/>
      <c r="L374" s="247"/>
    </row>
    <row r="375">
      <c r="D375" s="257"/>
      <c r="E375" s="257"/>
      <c r="F375" s="252"/>
      <c r="H375" s="369"/>
      <c r="I375" s="858"/>
      <c r="K375" s="247"/>
      <c r="L375" s="247"/>
    </row>
    <row r="376">
      <c r="D376" s="257"/>
      <c r="E376" s="257"/>
      <c r="F376" s="252"/>
      <c r="H376" s="369"/>
      <c r="I376" s="858"/>
      <c r="K376" s="247"/>
      <c r="L376" s="247"/>
    </row>
    <row r="377">
      <c r="D377" s="257"/>
      <c r="E377" s="257"/>
      <c r="F377" s="252"/>
      <c r="H377" s="369"/>
      <c r="I377" s="858"/>
      <c r="K377" s="247"/>
      <c r="L377" s="247"/>
    </row>
    <row r="378">
      <c r="D378" s="257"/>
      <c r="E378" s="257"/>
      <c r="F378" s="252"/>
      <c r="H378" s="369"/>
      <c r="I378" s="858"/>
      <c r="K378" s="247"/>
      <c r="L378" s="247"/>
    </row>
    <row r="379">
      <c r="D379" s="257"/>
      <c r="E379" s="257"/>
      <c r="F379" s="252"/>
      <c r="H379" s="369"/>
      <c r="I379" s="858"/>
      <c r="K379" s="247"/>
      <c r="L379" s="247"/>
    </row>
    <row r="380">
      <c r="D380" s="257"/>
      <c r="E380" s="257"/>
      <c r="F380" s="252"/>
      <c r="H380" s="369"/>
      <c r="I380" s="858"/>
      <c r="K380" s="247"/>
      <c r="L380" s="247"/>
    </row>
    <row r="381">
      <c r="D381" s="257"/>
      <c r="E381" s="257"/>
      <c r="F381" s="252"/>
      <c r="H381" s="369"/>
      <c r="I381" s="858"/>
      <c r="K381" s="247"/>
      <c r="L381" s="247"/>
    </row>
    <row r="382">
      <c r="D382" s="257"/>
      <c r="E382" s="257"/>
      <c r="F382" s="252"/>
      <c r="H382" s="369"/>
      <c r="I382" s="858"/>
      <c r="K382" s="247"/>
      <c r="L382" s="247"/>
    </row>
    <row r="383">
      <c r="D383" s="257"/>
      <c r="E383" s="257"/>
      <c r="F383" s="252"/>
      <c r="H383" s="369"/>
      <c r="I383" s="858"/>
      <c r="K383" s="247"/>
      <c r="L383" s="247"/>
    </row>
    <row r="384">
      <c r="D384" s="257"/>
      <c r="E384" s="257"/>
      <c r="F384" s="252"/>
      <c r="H384" s="369"/>
      <c r="I384" s="858"/>
      <c r="K384" s="247"/>
      <c r="L384" s="247"/>
    </row>
    <row r="385">
      <c r="D385" s="257"/>
      <c r="E385" s="257"/>
      <c r="F385" s="252"/>
      <c r="H385" s="369"/>
      <c r="I385" s="858"/>
      <c r="K385" s="247"/>
      <c r="L385" s="247"/>
    </row>
    <row r="386">
      <c r="D386" s="257"/>
      <c r="E386" s="257"/>
      <c r="F386" s="252"/>
      <c r="H386" s="369"/>
      <c r="I386" s="858"/>
      <c r="K386" s="247"/>
      <c r="L386" s="247"/>
    </row>
    <row r="387">
      <c r="D387" s="257"/>
      <c r="E387" s="257"/>
      <c r="F387" s="252"/>
      <c r="H387" s="369"/>
      <c r="I387" s="858"/>
      <c r="K387" s="247"/>
      <c r="L387" s="247"/>
    </row>
    <row r="388">
      <c r="D388" s="257"/>
      <c r="E388" s="257"/>
      <c r="F388" s="252"/>
      <c r="H388" s="369"/>
      <c r="I388" s="858"/>
      <c r="K388" s="247"/>
      <c r="L388" s="247"/>
    </row>
    <row r="389">
      <c r="D389" s="257"/>
      <c r="E389" s="257"/>
      <c r="F389" s="252"/>
      <c r="H389" s="369"/>
      <c r="I389" s="858"/>
      <c r="K389" s="247"/>
      <c r="L389" s="247"/>
    </row>
    <row r="390">
      <c r="D390" s="257"/>
      <c r="E390" s="257"/>
      <c r="F390" s="252"/>
      <c r="H390" s="369"/>
      <c r="I390" s="858"/>
      <c r="K390" s="247"/>
      <c r="L390" s="247"/>
    </row>
    <row r="391">
      <c r="D391" s="257"/>
      <c r="E391" s="257"/>
      <c r="F391" s="252"/>
      <c r="H391" s="369"/>
      <c r="I391" s="858"/>
      <c r="K391" s="247"/>
      <c r="L391" s="247"/>
    </row>
    <row r="392">
      <c r="D392" s="257"/>
      <c r="E392" s="257"/>
      <c r="F392" s="252"/>
      <c r="H392" s="369"/>
      <c r="I392" s="858"/>
      <c r="K392" s="247"/>
      <c r="L392" s="247"/>
    </row>
    <row r="393">
      <c r="D393" s="257"/>
      <c r="E393" s="257"/>
      <c r="F393" s="252"/>
      <c r="H393" s="369"/>
      <c r="I393" s="858"/>
      <c r="K393" s="247"/>
      <c r="L393" s="247"/>
    </row>
    <row r="394">
      <c r="D394" s="257"/>
      <c r="E394" s="257"/>
      <c r="F394" s="252"/>
      <c r="H394" s="369"/>
      <c r="I394" s="858"/>
      <c r="K394" s="247"/>
      <c r="L394" s="247"/>
    </row>
    <row r="395">
      <c r="D395" s="257"/>
      <c r="E395" s="257"/>
      <c r="F395" s="252"/>
      <c r="H395" s="369"/>
      <c r="I395" s="858"/>
      <c r="K395" s="247"/>
      <c r="L395" s="247"/>
    </row>
    <row r="396">
      <c r="D396" s="257"/>
      <c r="E396" s="257"/>
      <c r="F396" s="252"/>
      <c r="H396" s="369"/>
      <c r="I396" s="858"/>
      <c r="K396" s="247"/>
      <c r="L396" s="247"/>
    </row>
    <row r="397">
      <c r="D397" s="257"/>
      <c r="E397" s="257"/>
      <c r="F397" s="252"/>
      <c r="H397" s="369"/>
      <c r="I397" s="858"/>
      <c r="K397" s="247"/>
      <c r="L397" s="247"/>
    </row>
    <row r="398">
      <c r="D398" s="257"/>
      <c r="E398" s="257"/>
      <c r="F398" s="252"/>
      <c r="H398" s="369"/>
      <c r="I398" s="858"/>
      <c r="K398" s="247"/>
      <c r="L398" s="247"/>
    </row>
    <row r="399">
      <c r="D399" s="257"/>
      <c r="E399" s="257"/>
      <c r="F399" s="252"/>
      <c r="H399" s="369"/>
      <c r="I399" s="858"/>
      <c r="K399" s="247"/>
      <c r="L399" s="247"/>
    </row>
    <row r="400">
      <c r="D400" s="257"/>
      <c r="E400" s="257"/>
      <c r="F400" s="252"/>
      <c r="H400" s="369"/>
      <c r="I400" s="858"/>
      <c r="K400" s="247"/>
      <c r="L400" s="247"/>
    </row>
    <row r="401">
      <c r="D401" s="257"/>
      <c r="E401" s="257"/>
      <c r="F401" s="252"/>
      <c r="H401" s="369"/>
      <c r="I401" s="858"/>
      <c r="K401" s="247"/>
      <c r="L401" s="247"/>
    </row>
    <row r="402">
      <c r="D402" s="257"/>
      <c r="E402" s="257"/>
      <c r="F402" s="252"/>
      <c r="H402" s="369"/>
      <c r="I402" s="858"/>
      <c r="K402" s="247"/>
      <c r="L402" s="247"/>
    </row>
    <row r="403">
      <c r="D403" s="257"/>
      <c r="E403" s="257"/>
      <c r="F403" s="252"/>
      <c r="H403" s="369"/>
      <c r="I403" s="858"/>
      <c r="K403" s="247"/>
      <c r="L403" s="247"/>
    </row>
    <row r="404">
      <c r="D404" s="257"/>
      <c r="E404" s="257"/>
      <c r="F404" s="252"/>
      <c r="H404" s="369"/>
      <c r="I404" s="858"/>
      <c r="K404" s="247"/>
      <c r="L404" s="247"/>
    </row>
    <row r="405">
      <c r="D405" s="257"/>
      <c r="E405" s="257"/>
      <c r="F405" s="252"/>
      <c r="H405" s="369"/>
      <c r="I405" s="858"/>
      <c r="K405" s="247"/>
      <c r="L405" s="247"/>
    </row>
    <row r="406">
      <c r="D406" s="257"/>
      <c r="E406" s="257"/>
      <c r="F406" s="252"/>
      <c r="H406" s="369"/>
      <c r="I406" s="858"/>
      <c r="K406" s="247"/>
      <c r="L406" s="247"/>
    </row>
    <row r="407">
      <c r="D407" s="257"/>
      <c r="E407" s="257"/>
      <c r="F407" s="252"/>
      <c r="H407" s="369"/>
      <c r="I407" s="858"/>
      <c r="K407" s="247"/>
      <c r="L407" s="247"/>
    </row>
    <row r="408">
      <c r="D408" s="257"/>
      <c r="E408" s="257"/>
      <c r="F408" s="252"/>
      <c r="H408" s="369"/>
      <c r="I408" s="858"/>
      <c r="K408" s="247"/>
      <c r="L408" s="247"/>
    </row>
    <row r="409">
      <c r="D409" s="257"/>
      <c r="E409" s="257"/>
      <c r="F409" s="252"/>
      <c r="H409" s="369"/>
      <c r="I409" s="858"/>
      <c r="K409" s="247"/>
      <c r="L409" s="247"/>
    </row>
    <row r="410">
      <c r="D410" s="257"/>
      <c r="E410" s="257"/>
      <c r="F410" s="252"/>
      <c r="H410" s="369"/>
      <c r="I410" s="858"/>
      <c r="K410" s="247"/>
      <c r="L410" s="247"/>
    </row>
    <row r="411">
      <c r="D411" s="257"/>
      <c r="E411" s="257"/>
      <c r="F411" s="252"/>
      <c r="H411" s="369"/>
      <c r="I411" s="858"/>
      <c r="K411" s="247"/>
      <c r="L411" s="247"/>
    </row>
    <row r="412">
      <c r="D412" s="257"/>
      <c r="E412" s="257"/>
      <c r="F412" s="252"/>
      <c r="H412" s="369"/>
      <c r="I412" s="858"/>
      <c r="K412" s="247"/>
      <c r="L412" s="247"/>
    </row>
    <row r="413">
      <c r="D413" s="257"/>
      <c r="E413" s="257"/>
      <c r="F413" s="252"/>
      <c r="H413" s="369"/>
      <c r="I413" s="858"/>
      <c r="K413" s="247"/>
      <c r="L413" s="247"/>
    </row>
    <row r="414">
      <c r="D414" s="257"/>
      <c r="E414" s="257"/>
      <c r="F414" s="252"/>
      <c r="H414" s="369"/>
      <c r="I414" s="858"/>
      <c r="K414" s="247"/>
      <c r="L414" s="247"/>
    </row>
    <row r="415">
      <c r="D415" s="257"/>
      <c r="E415" s="257"/>
      <c r="F415" s="252"/>
      <c r="H415" s="369"/>
      <c r="I415" s="858"/>
      <c r="K415" s="247"/>
      <c r="L415" s="247"/>
    </row>
    <row r="416">
      <c r="D416" s="257"/>
      <c r="E416" s="257"/>
      <c r="F416" s="252"/>
      <c r="H416" s="369"/>
      <c r="I416" s="858"/>
      <c r="K416" s="247"/>
      <c r="L416" s="247"/>
    </row>
    <row r="417">
      <c r="D417" s="257"/>
      <c r="E417" s="257"/>
      <c r="F417" s="252"/>
      <c r="H417" s="369"/>
      <c r="I417" s="858"/>
      <c r="K417" s="247"/>
      <c r="L417" s="247"/>
    </row>
    <row r="418">
      <c r="D418" s="257"/>
      <c r="E418" s="257"/>
      <c r="F418" s="252"/>
      <c r="H418" s="369"/>
      <c r="I418" s="858"/>
      <c r="K418" s="247"/>
      <c r="L418" s="247"/>
    </row>
    <row r="419">
      <c r="D419" s="257"/>
      <c r="E419" s="257"/>
      <c r="F419" s="252"/>
      <c r="H419" s="369"/>
      <c r="I419" s="858"/>
      <c r="K419" s="247"/>
      <c r="L419" s="247"/>
    </row>
    <row r="420">
      <c r="D420" s="257"/>
      <c r="E420" s="257"/>
      <c r="F420" s="252"/>
      <c r="H420" s="369"/>
      <c r="I420" s="858"/>
      <c r="K420" s="247"/>
      <c r="L420" s="247"/>
    </row>
    <row r="421">
      <c r="D421" s="257"/>
      <c r="E421" s="257"/>
      <c r="F421" s="252"/>
      <c r="H421" s="369"/>
      <c r="I421" s="858"/>
      <c r="K421" s="247"/>
      <c r="L421" s="247"/>
    </row>
    <row r="422">
      <c r="D422" s="257"/>
      <c r="E422" s="257"/>
      <c r="F422" s="252"/>
      <c r="H422" s="369"/>
      <c r="I422" s="858"/>
      <c r="K422" s="247"/>
      <c r="L422" s="247"/>
    </row>
    <row r="423">
      <c r="D423" s="257"/>
      <c r="E423" s="257"/>
      <c r="F423" s="252"/>
      <c r="H423" s="369"/>
      <c r="I423" s="858"/>
      <c r="K423" s="247"/>
      <c r="L423" s="247"/>
    </row>
    <row r="424">
      <c r="D424" s="257"/>
      <c r="E424" s="257"/>
      <c r="F424" s="252"/>
      <c r="H424" s="369"/>
      <c r="I424" s="858"/>
      <c r="K424" s="247"/>
      <c r="L424" s="247"/>
    </row>
    <row r="425">
      <c r="D425" s="257"/>
      <c r="E425" s="257"/>
      <c r="F425" s="252"/>
      <c r="H425" s="369"/>
      <c r="I425" s="858"/>
      <c r="K425" s="247"/>
      <c r="L425" s="247"/>
    </row>
    <row r="426">
      <c r="D426" s="257"/>
      <c r="E426" s="257"/>
      <c r="F426" s="252"/>
      <c r="H426" s="369"/>
      <c r="I426" s="858"/>
      <c r="K426" s="247"/>
      <c r="L426" s="247"/>
    </row>
    <row r="427">
      <c r="D427" s="257"/>
      <c r="E427" s="257"/>
      <c r="F427" s="252"/>
      <c r="H427" s="369"/>
      <c r="I427" s="858"/>
      <c r="K427" s="247"/>
      <c r="L427" s="247"/>
    </row>
    <row r="428">
      <c r="D428" s="257"/>
      <c r="E428" s="257"/>
      <c r="F428" s="252"/>
      <c r="H428" s="369"/>
      <c r="I428" s="858"/>
      <c r="K428" s="247"/>
      <c r="L428" s="247"/>
    </row>
    <row r="429">
      <c r="D429" s="257"/>
      <c r="E429" s="257"/>
      <c r="F429" s="252"/>
      <c r="H429" s="369"/>
      <c r="I429" s="858"/>
      <c r="K429" s="247"/>
      <c r="L429" s="247"/>
    </row>
    <row r="430">
      <c r="D430" s="257"/>
      <c r="E430" s="257"/>
      <c r="F430" s="252"/>
      <c r="H430" s="369"/>
      <c r="I430" s="858"/>
      <c r="K430" s="247"/>
      <c r="L430" s="247"/>
    </row>
    <row r="431">
      <c r="D431" s="257"/>
      <c r="E431" s="257"/>
      <c r="F431" s="252"/>
      <c r="H431" s="369"/>
      <c r="I431" s="858"/>
      <c r="K431" s="247"/>
      <c r="L431" s="247"/>
    </row>
    <row r="432">
      <c r="D432" s="257"/>
      <c r="E432" s="257"/>
      <c r="F432" s="252"/>
      <c r="H432" s="369"/>
      <c r="I432" s="858"/>
      <c r="K432" s="247"/>
      <c r="L432" s="247"/>
    </row>
    <row r="433">
      <c r="D433" s="257"/>
      <c r="E433" s="257"/>
      <c r="F433" s="252"/>
      <c r="H433" s="369"/>
      <c r="I433" s="858"/>
      <c r="K433" s="247"/>
      <c r="L433" s="247"/>
    </row>
    <row r="434">
      <c r="D434" s="257"/>
      <c r="E434" s="257"/>
      <c r="F434" s="252"/>
      <c r="H434" s="369"/>
      <c r="I434" s="858"/>
      <c r="K434" s="247"/>
      <c r="L434" s="247"/>
    </row>
    <row r="435">
      <c r="D435" s="257"/>
      <c r="E435" s="257"/>
      <c r="F435" s="252"/>
      <c r="H435" s="369"/>
      <c r="I435" s="858"/>
      <c r="K435" s="247"/>
      <c r="L435" s="247"/>
    </row>
    <row r="436">
      <c r="D436" s="257"/>
      <c r="E436" s="257"/>
      <c r="F436" s="252"/>
      <c r="H436" s="369"/>
      <c r="I436" s="858"/>
      <c r="K436" s="247"/>
      <c r="L436" s="247"/>
    </row>
    <row r="437">
      <c r="D437" s="257"/>
      <c r="E437" s="257"/>
      <c r="F437" s="252"/>
      <c r="H437" s="369"/>
      <c r="I437" s="858"/>
      <c r="K437" s="247"/>
      <c r="L437" s="247"/>
    </row>
    <row r="438">
      <c r="D438" s="257"/>
      <c r="E438" s="257"/>
      <c r="F438" s="252"/>
      <c r="H438" s="369"/>
      <c r="I438" s="858"/>
      <c r="K438" s="247"/>
      <c r="L438" s="247"/>
    </row>
    <row r="439">
      <c r="D439" s="257"/>
      <c r="E439" s="257"/>
      <c r="F439" s="252"/>
      <c r="H439" s="369"/>
      <c r="I439" s="858"/>
      <c r="K439" s="247"/>
      <c r="L439" s="247"/>
    </row>
    <row r="440">
      <c r="D440" s="257"/>
      <c r="E440" s="257"/>
      <c r="F440" s="252"/>
      <c r="H440" s="369"/>
      <c r="I440" s="858"/>
      <c r="K440" s="247"/>
      <c r="L440" s="247"/>
    </row>
    <row r="441">
      <c r="D441" s="257"/>
      <c r="E441" s="257"/>
      <c r="F441" s="252"/>
      <c r="H441" s="369"/>
      <c r="I441" s="858"/>
      <c r="K441" s="247"/>
      <c r="L441" s="247"/>
    </row>
    <row r="442">
      <c r="D442" s="257"/>
      <c r="E442" s="257"/>
      <c r="F442" s="252"/>
      <c r="H442" s="369"/>
      <c r="I442" s="858"/>
      <c r="K442" s="247"/>
      <c r="L442" s="247"/>
    </row>
    <row r="443">
      <c r="D443" s="257"/>
      <c r="E443" s="257"/>
      <c r="F443" s="252"/>
      <c r="H443" s="369"/>
      <c r="I443" s="858"/>
      <c r="K443" s="247"/>
      <c r="L443" s="247"/>
    </row>
    <row r="444">
      <c r="D444" s="257"/>
      <c r="E444" s="257"/>
      <c r="F444" s="252"/>
      <c r="H444" s="369"/>
      <c r="I444" s="858"/>
      <c r="K444" s="247"/>
      <c r="L444" s="247"/>
    </row>
    <row r="445">
      <c r="D445" s="257"/>
      <c r="E445" s="257"/>
      <c r="F445" s="252"/>
      <c r="H445" s="369"/>
      <c r="I445" s="858"/>
      <c r="K445" s="247"/>
      <c r="L445" s="247"/>
    </row>
    <row r="446">
      <c r="D446" s="257"/>
      <c r="E446" s="257"/>
      <c r="F446" s="252"/>
      <c r="H446" s="369"/>
      <c r="I446" s="858"/>
      <c r="K446" s="247"/>
      <c r="L446" s="247"/>
    </row>
    <row r="447">
      <c r="D447" s="257"/>
      <c r="E447" s="257"/>
      <c r="F447" s="252"/>
      <c r="H447" s="369"/>
      <c r="I447" s="858"/>
      <c r="K447" s="247"/>
      <c r="L447" s="247"/>
    </row>
    <row r="448">
      <c r="D448" s="257"/>
      <c r="E448" s="257"/>
      <c r="F448" s="252"/>
      <c r="H448" s="369"/>
      <c r="I448" s="858"/>
      <c r="K448" s="247"/>
      <c r="L448" s="247"/>
    </row>
    <row r="449">
      <c r="D449" s="257"/>
      <c r="E449" s="257"/>
      <c r="F449" s="252"/>
      <c r="H449" s="369"/>
      <c r="I449" s="858"/>
      <c r="K449" s="247"/>
      <c r="L449" s="247"/>
    </row>
    <row r="450">
      <c r="D450" s="257"/>
      <c r="E450" s="257"/>
      <c r="F450" s="252"/>
      <c r="H450" s="369"/>
      <c r="I450" s="858"/>
      <c r="K450" s="247"/>
      <c r="L450" s="247"/>
    </row>
    <row r="451">
      <c r="D451" s="257"/>
      <c r="E451" s="257"/>
      <c r="F451" s="252"/>
      <c r="H451" s="369"/>
      <c r="I451" s="858"/>
      <c r="K451" s="247"/>
      <c r="L451" s="247"/>
    </row>
    <row r="452">
      <c r="D452" s="257"/>
      <c r="E452" s="257"/>
      <c r="F452" s="252"/>
      <c r="H452" s="369"/>
      <c r="I452" s="858"/>
      <c r="K452" s="247"/>
      <c r="L452" s="247"/>
    </row>
    <row r="453">
      <c r="D453" s="257"/>
      <c r="E453" s="257"/>
      <c r="F453" s="252"/>
      <c r="H453" s="369"/>
      <c r="I453" s="858"/>
      <c r="K453" s="247"/>
      <c r="L453" s="247"/>
    </row>
    <row r="454">
      <c r="D454" s="257"/>
      <c r="E454" s="257"/>
      <c r="F454" s="252"/>
      <c r="H454" s="369"/>
      <c r="I454" s="858"/>
      <c r="K454" s="247"/>
      <c r="L454" s="247"/>
    </row>
    <row r="455">
      <c r="D455" s="257"/>
      <c r="E455" s="257"/>
      <c r="F455" s="252"/>
      <c r="H455" s="369"/>
      <c r="I455" s="858"/>
      <c r="K455" s="247"/>
      <c r="L455" s="247"/>
    </row>
    <row r="456">
      <c r="D456" s="257"/>
      <c r="E456" s="257"/>
      <c r="F456" s="252"/>
      <c r="H456" s="369"/>
      <c r="I456" s="858"/>
      <c r="K456" s="247"/>
      <c r="L456" s="247"/>
    </row>
    <row r="457">
      <c r="D457" s="257"/>
      <c r="E457" s="257"/>
      <c r="F457" s="252"/>
      <c r="H457" s="369"/>
      <c r="I457" s="858"/>
      <c r="K457" s="247"/>
      <c r="L457" s="247"/>
    </row>
    <row r="458">
      <c r="D458" s="257"/>
      <c r="E458" s="257"/>
      <c r="F458" s="252"/>
      <c r="H458" s="369"/>
      <c r="I458" s="858"/>
      <c r="K458" s="247"/>
      <c r="L458" s="247"/>
    </row>
    <row r="459">
      <c r="D459" s="257"/>
      <c r="E459" s="257"/>
      <c r="F459" s="252"/>
      <c r="H459" s="369"/>
      <c r="I459" s="858"/>
      <c r="K459" s="247"/>
      <c r="L459" s="247"/>
    </row>
    <row r="460">
      <c r="D460" s="257"/>
      <c r="E460" s="257"/>
      <c r="F460" s="252"/>
      <c r="H460" s="369"/>
      <c r="I460" s="858"/>
      <c r="K460" s="247"/>
      <c r="L460" s="247"/>
    </row>
    <row r="461">
      <c r="D461" s="257"/>
      <c r="E461" s="257"/>
      <c r="F461" s="252"/>
      <c r="H461" s="369"/>
      <c r="I461" s="858"/>
      <c r="K461" s="247"/>
      <c r="L461" s="247"/>
    </row>
    <row r="462">
      <c r="D462" s="257"/>
      <c r="E462" s="257"/>
      <c r="F462" s="252"/>
      <c r="H462" s="369"/>
      <c r="I462" s="858"/>
      <c r="K462" s="247"/>
      <c r="L462" s="247"/>
    </row>
    <row r="463">
      <c r="D463" s="257"/>
      <c r="E463" s="257"/>
      <c r="F463" s="252"/>
      <c r="H463" s="369"/>
      <c r="I463" s="858"/>
      <c r="K463" s="247"/>
      <c r="L463" s="247"/>
    </row>
    <row r="464">
      <c r="D464" s="257"/>
      <c r="E464" s="257"/>
      <c r="F464" s="252"/>
      <c r="H464" s="369"/>
      <c r="I464" s="858"/>
      <c r="K464" s="247"/>
      <c r="L464" s="247"/>
    </row>
    <row r="465">
      <c r="D465" s="257"/>
      <c r="E465" s="257"/>
      <c r="F465" s="252"/>
      <c r="H465" s="369"/>
      <c r="I465" s="858"/>
      <c r="K465" s="247"/>
      <c r="L465" s="247"/>
    </row>
    <row r="466">
      <c r="D466" s="257"/>
      <c r="E466" s="257"/>
      <c r="F466" s="252"/>
      <c r="H466" s="369"/>
      <c r="I466" s="858"/>
      <c r="K466" s="247"/>
      <c r="L466" s="247"/>
    </row>
    <row r="467">
      <c r="D467" s="257"/>
      <c r="E467" s="257"/>
      <c r="F467" s="252"/>
      <c r="H467" s="369"/>
      <c r="I467" s="858"/>
      <c r="K467" s="247"/>
      <c r="L467" s="247"/>
    </row>
    <row r="468">
      <c r="D468" s="257"/>
      <c r="E468" s="257"/>
      <c r="F468" s="252"/>
      <c r="H468" s="369"/>
      <c r="I468" s="858"/>
      <c r="K468" s="247"/>
      <c r="L468" s="247"/>
    </row>
    <row r="469">
      <c r="D469" s="257"/>
      <c r="E469" s="257"/>
      <c r="F469" s="252"/>
      <c r="H469" s="369"/>
      <c r="I469" s="858"/>
      <c r="K469" s="247"/>
      <c r="L469" s="247"/>
    </row>
    <row r="470">
      <c r="D470" s="257"/>
      <c r="E470" s="257"/>
      <c r="F470" s="252"/>
      <c r="H470" s="369"/>
      <c r="I470" s="858"/>
      <c r="K470" s="247"/>
      <c r="L470" s="247"/>
    </row>
    <row r="471">
      <c r="D471" s="257"/>
      <c r="E471" s="257"/>
      <c r="F471" s="252"/>
      <c r="H471" s="369"/>
      <c r="I471" s="858"/>
      <c r="K471" s="247"/>
      <c r="L471" s="247"/>
    </row>
    <row r="472">
      <c r="D472" s="257"/>
      <c r="E472" s="257"/>
      <c r="F472" s="252"/>
      <c r="H472" s="369"/>
      <c r="I472" s="858"/>
      <c r="K472" s="247"/>
      <c r="L472" s="247"/>
    </row>
    <row r="473">
      <c r="D473" s="257"/>
      <c r="E473" s="257"/>
      <c r="F473" s="252"/>
      <c r="H473" s="369"/>
      <c r="I473" s="858"/>
      <c r="K473" s="247"/>
      <c r="L473" s="247"/>
    </row>
    <row r="474">
      <c r="D474" s="257"/>
      <c r="E474" s="257"/>
      <c r="F474" s="252"/>
      <c r="H474" s="369"/>
      <c r="I474" s="858"/>
      <c r="K474" s="247"/>
      <c r="L474" s="247"/>
    </row>
    <row r="475">
      <c r="D475" s="257"/>
      <c r="E475" s="257"/>
      <c r="F475" s="252"/>
      <c r="H475" s="369"/>
      <c r="I475" s="858"/>
      <c r="K475" s="247"/>
      <c r="L475" s="247"/>
    </row>
    <row r="476">
      <c r="D476" s="257"/>
      <c r="E476" s="257"/>
      <c r="F476" s="252"/>
      <c r="H476" s="369"/>
      <c r="I476" s="858"/>
      <c r="K476" s="247"/>
      <c r="L476" s="247"/>
    </row>
    <row r="477">
      <c r="D477" s="257"/>
      <c r="E477" s="257"/>
      <c r="F477" s="252"/>
      <c r="H477" s="369"/>
      <c r="I477" s="858"/>
      <c r="K477" s="247"/>
      <c r="L477" s="247"/>
    </row>
    <row r="478">
      <c r="D478" s="257"/>
      <c r="E478" s="257"/>
      <c r="F478" s="252"/>
      <c r="H478" s="369"/>
      <c r="I478" s="858"/>
      <c r="K478" s="247"/>
      <c r="L478" s="247"/>
    </row>
    <row r="479">
      <c r="D479" s="257"/>
      <c r="E479" s="257"/>
      <c r="F479" s="252"/>
      <c r="H479" s="369"/>
      <c r="I479" s="858"/>
      <c r="K479" s="247"/>
      <c r="L479" s="247"/>
    </row>
    <row r="480">
      <c r="D480" s="257"/>
      <c r="E480" s="257"/>
      <c r="F480" s="252"/>
      <c r="H480" s="369"/>
      <c r="I480" s="858"/>
      <c r="K480" s="247"/>
      <c r="L480" s="247"/>
    </row>
    <row r="481">
      <c r="D481" s="257"/>
      <c r="E481" s="257"/>
      <c r="F481" s="252"/>
      <c r="H481" s="369"/>
      <c r="I481" s="858"/>
      <c r="K481" s="247"/>
      <c r="L481" s="247"/>
    </row>
    <row r="482">
      <c r="D482" s="257"/>
      <c r="E482" s="257"/>
      <c r="F482" s="252"/>
      <c r="H482" s="369"/>
      <c r="I482" s="858"/>
      <c r="K482" s="247"/>
      <c r="L482" s="247"/>
    </row>
    <row r="483">
      <c r="D483" s="257"/>
      <c r="E483" s="257"/>
      <c r="F483" s="252"/>
      <c r="H483" s="369"/>
      <c r="I483" s="858"/>
      <c r="K483" s="247"/>
      <c r="L483" s="247"/>
    </row>
    <row r="484">
      <c r="D484" s="257"/>
      <c r="E484" s="257"/>
      <c r="F484" s="252"/>
      <c r="H484" s="369"/>
      <c r="I484" s="858"/>
      <c r="K484" s="247"/>
      <c r="L484" s="247"/>
    </row>
    <row r="485">
      <c r="D485" s="257"/>
      <c r="E485" s="257"/>
      <c r="F485" s="252"/>
      <c r="H485" s="369"/>
      <c r="I485" s="858"/>
      <c r="K485" s="247"/>
      <c r="L485" s="247"/>
    </row>
    <row r="486">
      <c r="D486" s="257"/>
      <c r="E486" s="257"/>
      <c r="F486" s="252"/>
      <c r="H486" s="369"/>
      <c r="I486" s="858"/>
      <c r="K486" s="247"/>
      <c r="L486" s="247"/>
    </row>
    <row r="487">
      <c r="D487" s="257"/>
      <c r="E487" s="257"/>
      <c r="F487" s="252"/>
      <c r="H487" s="369"/>
      <c r="I487" s="858"/>
      <c r="K487" s="247"/>
      <c r="L487" s="247"/>
    </row>
    <row r="488">
      <c r="D488" s="257"/>
      <c r="E488" s="257"/>
      <c r="F488" s="252"/>
      <c r="H488" s="369"/>
      <c r="I488" s="858"/>
      <c r="K488" s="247"/>
      <c r="L488" s="247"/>
    </row>
    <row r="489">
      <c r="D489" s="257"/>
      <c r="E489" s="257"/>
      <c r="F489" s="252"/>
      <c r="H489" s="369"/>
      <c r="I489" s="858"/>
      <c r="K489" s="247"/>
      <c r="L489" s="247"/>
    </row>
    <row r="490">
      <c r="D490" s="257"/>
      <c r="E490" s="257"/>
      <c r="F490" s="252"/>
      <c r="H490" s="369"/>
      <c r="I490" s="858"/>
      <c r="K490" s="247"/>
      <c r="L490" s="247"/>
    </row>
    <row r="491">
      <c r="D491" s="257"/>
      <c r="E491" s="257"/>
      <c r="F491" s="252"/>
      <c r="H491" s="369"/>
      <c r="I491" s="858"/>
      <c r="K491" s="247"/>
      <c r="L491" s="247"/>
    </row>
    <row r="492">
      <c r="D492" s="257"/>
      <c r="E492" s="257"/>
      <c r="F492" s="252"/>
      <c r="H492" s="369"/>
      <c r="I492" s="858"/>
      <c r="K492" s="247"/>
      <c r="L492" s="247"/>
    </row>
    <row r="493">
      <c r="D493" s="257"/>
      <c r="E493" s="257"/>
      <c r="F493" s="252"/>
      <c r="H493" s="369"/>
      <c r="I493" s="858"/>
      <c r="K493" s="247"/>
      <c r="L493" s="247"/>
    </row>
    <row r="494">
      <c r="D494" s="257"/>
      <c r="E494" s="257"/>
      <c r="F494" s="252"/>
      <c r="H494" s="369"/>
      <c r="I494" s="858"/>
      <c r="K494" s="247"/>
      <c r="L494" s="247"/>
    </row>
    <row r="495">
      <c r="D495" s="257"/>
      <c r="E495" s="257"/>
      <c r="F495" s="252"/>
      <c r="H495" s="369"/>
      <c r="I495" s="858"/>
      <c r="K495" s="247"/>
      <c r="L495" s="247"/>
    </row>
    <row r="496">
      <c r="D496" s="257"/>
      <c r="E496" s="257"/>
      <c r="F496" s="252"/>
      <c r="H496" s="369"/>
      <c r="I496" s="858"/>
      <c r="K496" s="247"/>
      <c r="L496" s="247"/>
    </row>
    <row r="497">
      <c r="D497" s="257"/>
      <c r="E497" s="257"/>
      <c r="F497" s="252"/>
      <c r="H497" s="369"/>
      <c r="I497" s="858"/>
      <c r="K497" s="247"/>
      <c r="L497" s="247"/>
    </row>
    <row r="498">
      <c r="D498" s="257"/>
      <c r="E498" s="257"/>
      <c r="F498" s="252"/>
      <c r="H498" s="369"/>
      <c r="I498" s="858"/>
      <c r="K498" s="247"/>
      <c r="L498" s="247"/>
    </row>
    <row r="499">
      <c r="D499" s="257"/>
      <c r="E499" s="257"/>
      <c r="F499" s="252"/>
      <c r="H499" s="369"/>
      <c r="I499" s="858"/>
      <c r="K499" s="247"/>
      <c r="L499" s="247"/>
    </row>
    <row r="500">
      <c r="D500" s="257"/>
      <c r="E500" s="257"/>
      <c r="F500" s="252"/>
      <c r="H500" s="369"/>
      <c r="I500" s="858"/>
      <c r="K500" s="247"/>
      <c r="L500" s="247"/>
    </row>
    <row r="501">
      <c r="D501" s="257"/>
      <c r="E501" s="257"/>
      <c r="F501" s="252"/>
      <c r="H501" s="369"/>
      <c r="I501" s="858"/>
      <c r="K501" s="247"/>
      <c r="L501" s="247"/>
    </row>
    <row r="502">
      <c r="D502" s="257"/>
      <c r="E502" s="257"/>
      <c r="F502" s="252"/>
      <c r="H502" s="369"/>
      <c r="I502" s="858"/>
      <c r="K502" s="247"/>
      <c r="L502" s="247"/>
    </row>
    <row r="503">
      <c r="D503" s="257"/>
      <c r="E503" s="257"/>
      <c r="F503" s="252"/>
      <c r="H503" s="369"/>
      <c r="I503" s="858"/>
      <c r="K503" s="247"/>
      <c r="L503" s="247"/>
    </row>
    <row r="504">
      <c r="D504" s="257"/>
      <c r="E504" s="257"/>
      <c r="F504" s="252"/>
      <c r="H504" s="369"/>
      <c r="I504" s="858"/>
      <c r="K504" s="247"/>
      <c r="L504" s="247"/>
    </row>
    <row r="505">
      <c r="D505" s="257"/>
      <c r="E505" s="257"/>
      <c r="F505" s="252"/>
      <c r="H505" s="369"/>
      <c r="I505" s="858"/>
      <c r="K505" s="247"/>
      <c r="L505" s="247"/>
    </row>
    <row r="506">
      <c r="D506" s="257"/>
      <c r="E506" s="257"/>
      <c r="F506" s="252"/>
      <c r="H506" s="369"/>
      <c r="I506" s="858"/>
      <c r="K506" s="247"/>
      <c r="L506" s="247"/>
    </row>
    <row r="507">
      <c r="D507" s="257"/>
      <c r="E507" s="257"/>
      <c r="F507" s="252"/>
      <c r="H507" s="369"/>
      <c r="I507" s="858"/>
      <c r="K507" s="247"/>
      <c r="L507" s="247"/>
    </row>
    <row r="508">
      <c r="D508" s="257"/>
      <c r="E508" s="257"/>
      <c r="F508" s="252"/>
      <c r="H508" s="369"/>
      <c r="I508" s="858"/>
      <c r="K508" s="247"/>
      <c r="L508" s="247"/>
    </row>
    <row r="509">
      <c r="D509" s="257"/>
      <c r="E509" s="257"/>
      <c r="F509" s="252"/>
      <c r="H509" s="369"/>
      <c r="I509" s="858"/>
      <c r="K509" s="247"/>
      <c r="L509" s="247"/>
    </row>
    <row r="510">
      <c r="D510" s="257"/>
      <c r="E510" s="257"/>
      <c r="F510" s="252"/>
      <c r="H510" s="369"/>
      <c r="I510" s="858"/>
      <c r="K510" s="247"/>
      <c r="L510" s="247"/>
    </row>
    <row r="511">
      <c r="D511" s="257"/>
      <c r="E511" s="257"/>
      <c r="F511" s="252"/>
      <c r="H511" s="369"/>
      <c r="I511" s="858"/>
      <c r="K511" s="247"/>
      <c r="L511" s="247"/>
    </row>
    <row r="512">
      <c r="D512" s="257"/>
      <c r="E512" s="257"/>
      <c r="F512" s="252"/>
      <c r="H512" s="369"/>
      <c r="I512" s="858"/>
      <c r="K512" s="247"/>
      <c r="L512" s="247"/>
    </row>
    <row r="513">
      <c r="D513" s="257"/>
      <c r="E513" s="257"/>
      <c r="F513" s="252"/>
      <c r="H513" s="369"/>
      <c r="I513" s="858"/>
      <c r="K513" s="247"/>
      <c r="L513" s="247"/>
    </row>
    <row r="514">
      <c r="D514" s="257"/>
      <c r="E514" s="257"/>
      <c r="F514" s="252"/>
      <c r="H514" s="369"/>
      <c r="I514" s="858"/>
      <c r="K514" s="247"/>
      <c r="L514" s="247"/>
    </row>
    <row r="515">
      <c r="D515" s="257"/>
      <c r="E515" s="257"/>
      <c r="F515" s="252"/>
      <c r="H515" s="369"/>
      <c r="I515" s="858"/>
      <c r="K515" s="247"/>
      <c r="L515" s="247"/>
    </row>
    <row r="516">
      <c r="D516" s="257"/>
      <c r="E516" s="257"/>
      <c r="F516" s="252"/>
      <c r="H516" s="369"/>
      <c r="I516" s="858"/>
      <c r="K516" s="247"/>
      <c r="L516" s="247"/>
    </row>
    <row r="517">
      <c r="D517" s="257"/>
      <c r="E517" s="257"/>
      <c r="F517" s="252"/>
      <c r="H517" s="369"/>
      <c r="I517" s="858"/>
      <c r="K517" s="247"/>
      <c r="L517" s="247"/>
    </row>
    <row r="518">
      <c r="D518" s="257"/>
      <c r="E518" s="257"/>
      <c r="F518" s="252"/>
      <c r="H518" s="369"/>
      <c r="I518" s="858"/>
      <c r="K518" s="247"/>
      <c r="L518" s="247"/>
    </row>
    <row r="519">
      <c r="D519" s="257"/>
      <c r="E519" s="257"/>
      <c r="F519" s="252"/>
      <c r="H519" s="369"/>
      <c r="I519" s="858"/>
      <c r="K519" s="247"/>
      <c r="L519" s="247"/>
    </row>
    <row r="520">
      <c r="D520" s="257"/>
      <c r="E520" s="257"/>
      <c r="F520" s="252"/>
      <c r="H520" s="369"/>
      <c r="I520" s="858"/>
      <c r="K520" s="247"/>
      <c r="L520" s="247"/>
    </row>
    <row r="521">
      <c r="D521" s="257"/>
      <c r="E521" s="257"/>
      <c r="F521" s="252"/>
      <c r="H521" s="369"/>
      <c r="I521" s="858"/>
      <c r="K521" s="247"/>
      <c r="L521" s="247"/>
    </row>
    <row r="522">
      <c r="D522" s="257"/>
      <c r="E522" s="257"/>
      <c r="F522" s="252"/>
      <c r="H522" s="369"/>
      <c r="I522" s="858"/>
      <c r="K522" s="247"/>
      <c r="L522" s="247"/>
    </row>
    <row r="523">
      <c r="D523" s="257"/>
      <c r="E523" s="257"/>
      <c r="F523" s="252"/>
      <c r="H523" s="369"/>
      <c r="I523" s="858"/>
      <c r="K523" s="247"/>
      <c r="L523" s="247"/>
    </row>
    <row r="524">
      <c r="D524" s="257"/>
      <c r="E524" s="257"/>
      <c r="F524" s="252"/>
      <c r="H524" s="369"/>
      <c r="I524" s="858"/>
      <c r="K524" s="247"/>
      <c r="L524" s="247"/>
    </row>
    <row r="525">
      <c r="D525" s="257"/>
      <c r="E525" s="257"/>
      <c r="F525" s="252"/>
      <c r="H525" s="369"/>
      <c r="I525" s="858"/>
      <c r="K525" s="247"/>
      <c r="L525" s="247"/>
    </row>
    <row r="526">
      <c r="D526" s="257"/>
      <c r="E526" s="257"/>
      <c r="F526" s="252"/>
      <c r="H526" s="369"/>
      <c r="I526" s="858"/>
      <c r="K526" s="247"/>
      <c r="L526" s="247"/>
    </row>
    <row r="527">
      <c r="D527" s="257"/>
      <c r="E527" s="257"/>
      <c r="F527" s="252"/>
      <c r="H527" s="369"/>
      <c r="I527" s="858"/>
      <c r="K527" s="247"/>
      <c r="L527" s="247"/>
    </row>
    <row r="528">
      <c r="D528" s="257"/>
      <c r="E528" s="257"/>
      <c r="F528" s="252"/>
      <c r="H528" s="369"/>
      <c r="I528" s="858"/>
      <c r="K528" s="247"/>
      <c r="L528" s="247"/>
    </row>
    <row r="529">
      <c r="D529" s="257"/>
      <c r="E529" s="257"/>
      <c r="F529" s="252"/>
      <c r="H529" s="369"/>
      <c r="I529" s="858"/>
      <c r="K529" s="247"/>
      <c r="L529" s="247"/>
    </row>
    <row r="530">
      <c r="D530" s="257"/>
      <c r="E530" s="257"/>
      <c r="F530" s="252"/>
      <c r="H530" s="369"/>
      <c r="I530" s="858"/>
      <c r="K530" s="247"/>
      <c r="L530" s="247"/>
    </row>
    <row r="531">
      <c r="D531" s="257"/>
      <c r="E531" s="257"/>
      <c r="F531" s="252"/>
      <c r="H531" s="369"/>
      <c r="I531" s="858"/>
      <c r="K531" s="247"/>
      <c r="L531" s="247"/>
    </row>
    <row r="532">
      <c r="D532" s="257"/>
      <c r="E532" s="257"/>
      <c r="F532" s="252"/>
      <c r="H532" s="369"/>
      <c r="I532" s="858"/>
      <c r="K532" s="247"/>
      <c r="L532" s="247"/>
    </row>
    <row r="533">
      <c r="D533" s="257"/>
      <c r="E533" s="257"/>
      <c r="F533" s="252"/>
      <c r="H533" s="369"/>
      <c r="I533" s="858"/>
      <c r="K533" s="247"/>
      <c r="L533" s="247"/>
    </row>
    <row r="534">
      <c r="D534" s="257"/>
      <c r="E534" s="257"/>
      <c r="F534" s="252"/>
      <c r="H534" s="369"/>
      <c r="I534" s="858"/>
      <c r="K534" s="247"/>
      <c r="L534" s="247"/>
    </row>
    <row r="535">
      <c r="D535" s="257"/>
      <c r="E535" s="257"/>
      <c r="F535" s="252"/>
      <c r="H535" s="369"/>
      <c r="I535" s="858"/>
      <c r="K535" s="247"/>
      <c r="L535" s="247"/>
    </row>
    <row r="536">
      <c r="D536" s="257"/>
      <c r="E536" s="257"/>
      <c r="F536" s="252"/>
      <c r="H536" s="369"/>
      <c r="I536" s="858"/>
      <c r="K536" s="247"/>
      <c r="L536" s="247"/>
    </row>
    <row r="537">
      <c r="D537" s="257"/>
      <c r="E537" s="257"/>
      <c r="F537" s="252"/>
      <c r="H537" s="369"/>
      <c r="I537" s="858"/>
      <c r="K537" s="247"/>
      <c r="L537" s="247"/>
    </row>
    <row r="538">
      <c r="D538" s="257"/>
      <c r="E538" s="257"/>
      <c r="F538" s="252"/>
      <c r="H538" s="369"/>
      <c r="I538" s="858"/>
      <c r="K538" s="247"/>
      <c r="L538" s="247"/>
    </row>
    <row r="539">
      <c r="D539" s="257"/>
      <c r="E539" s="257"/>
      <c r="F539" s="252"/>
      <c r="H539" s="369"/>
      <c r="I539" s="858"/>
      <c r="K539" s="247"/>
      <c r="L539" s="247"/>
    </row>
    <row r="540">
      <c r="D540" s="257"/>
      <c r="E540" s="257"/>
      <c r="F540" s="252"/>
      <c r="H540" s="369"/>
      <c r="I540" s="858"/>
      <c r="K540" s="247"/>
      <c r="L540" s="247"/>
    </row>
    <row r="541">
      <c r="D541" s="257"/>
      <c r="E541" s="257"/>
      <c r="F541" s="252"/>
      <c r="H541" s="369"/>
      <c r="I541" s="858"/>
      <c r="K541" s="247"/>
      <c r="L541" s="247"/>
    </row>
    <row r="542">
      <c r="D542" s="257"/>
      <c r="E542" s="257"/>
      <c r="F542" s="252"/>
      <c r="H542" s="369"/>
      <c r="I542" s="858"/>
      <c r="K542" s="247"/>
      <c r="L542" s="247"/>
    </row>
    <row r="543">
      <c r="D543" s="257"/>
      <c r="E543" s="257"/>
      <c r="F543" s="252"/>
      <c r="H543" s="369"/>
      <c r="I543" s="858"/>
      <c r="K543" s="247"/>
      <c r="L543" s="247"/>
    </row>
    <row r="544">
      <c r="D544" s="257"/>
      <c r="E544" s="257"/>
      <c r="F544" s="252"/>
      <c r="H544" s="369"/>
      <c r="I544" s="858"/>
      <c r="K544" s="247"/>
      <c r="L544" s="247"/>
    </row>
    <row r="545">
      <c r="D545" s="257"/>
      <c r="E545" s="257"/>
      <c r="F545" s="252"/>
      <c r="H545" s="369"/>
      <c r="I545" s="858"/>
      <c r="K545" s="247"/>
      <c r="L545" s="247"/>
    </row>
    <row r="546">
      <c r="D546" s="257"/>
      <c r="E546" s="257"/>
      <c r="F546" s="252"/>
      <c r="H546" s="369"/>
      <c r="I546" s="858"/>
      <c r="K546" s="247"/>
      <c r="L546" s="247"/>
    </row>
    <row r="547">
      <c r="D547" s="257"/>
      <c r="E547" s="257"/>
      <c r="F547" s="252"/>
      <c r="H547" s="369"/>
      <c r="I547" s="858"/>
      <c r="K547" s="247"/>
      <c r="L547" s="247"/>
    </row>
    <row r="548">
      <c r="D548" s="257"/>
      <c r="E548" s="257"/>
      <c r="F548" s="252"/>
      <c r="H548" s="369"/>
      <c r="I548" s="858"/>
      <c r="K548" s="247"/>
      <c r="L548" s="247"/>
    </row>
    <row r="549">
      <c r="D549" s="257"/>
      <c r="E549" s="257"/>
      <c r="F549" s="252"/>
      <c r="H549" s="369"/>
      <c r="I549" s="858"/>
      <c r="K549" s="247"/>
      <c r="L549" s="247"/>
    </row>
    <row r="550">
      <c r="D550" s="257"/>
      <c r="E550" s="257"/>
      <c r="F550" s="252"/>
      <c r="H550" s="369"/>
      <c r="I550" s="858"/>
      <c r="K550" s="247"/>
      <c r="L550" s="247"/>
    </row>
    <row r="551">
      <c r="D551" s="257"/>
      <c r="E551" s="257"/>
      <c r="F551" s="252"/>
      <c r="H551" s="369"/>
      <c r="I551" s="858"/>
      <c r="K551" s="247"/>
      <c r="L551" s="247"/>
    </row>
    <row r="552">
      <c r="D552" s="257"/>
      <c r="E552" s="257"/>
      <c r="F552" s="252"/>
      <c r="H552" s="369"/>
      <c r="I552" s="858"/>
      <c r="K552" s="247"/>
      <c r="L552" s="247"/>
    </row>
    <row r="553">
      <c r="D553" s="257"/>
      <c r="E553" s="257"/>
      <c r="F553" s="252"/>
      <c r="H553" s="369"/>
      <c r="I553" s="858"/>
      <c r="K553" s="247"/>
      <c r="L553" s="247"/>
    </row>
    <row r="554">
      <c r="D554" s="257"/>
      <c r="E554" s="257"/>
      <c r="F554" s="252"/>
      <c r="H554" s="369"/>
      <c r="I554" s="858"/>
      <c r="K554" s="247"/>
      <c r="L554" s="247"/>
    </row>
    <row r="555">
      <c r="D555" s="257"/>
      <c r="E555" s="257"/>
      <c r="F555" s="252"/>
      <c r="H555" s="369"/>
      <c r="I555" s="858"/>
      <c r="K555" s="247"/>
      <c r="L555" s="247"/>
    </row>
    <row r="556">
      <c r="D556" s="257"/>
      <c r="E556" s="257"/>
      <c r="F556" s="252"/>
      <c r="H556" s="369"/>
      <c r="I556" s="858"/>
      <c r="K556" s="247"/>
      <c r="L556" s="247"/>
    </row>
    <row r="557">
      <c r="D557" s="257"/>
      <c r="E557" s="257"/>
      <c r="F557" s="252"/>
      <c r="H557" s="369"/>
      <c r="I557" s="858"/>
      <c r="K557" s="247"/>
      <c r="L557" s="247"/>
    </row>
    <row r="558">
      <c r="D558" s="257"/>
      <c r="E558" s="257"/>
      <c r="F558" s="252"/>
      <c r="H558" s="369"/>
      <c r="I558" s="858"/>
      <c r="K558" s="247"/>
      <c r="L558" s="247"/>
    </row>
    <row r="559">
      <c r="D559" s="257"/>
      <c r="E559" s="257"/>
      <c r="F559" s="252"/>
      <c r="H559" s="369"/>
      <c r="I559" s="858"/>
      <c r="K559" s="247"/>
      <c r="L559" s="247"/>
    </row>
    <row r="560">
      <c r="D560" s="257"/>
      <c r="E560" s="257"/>
      <c r="F560" s="252"/>
      <c r="H560" s="369"/>
      <c r="I560" s="858"/>
      <c r="K560" s="247"/>
      <c r="L560" s="247"/>
    </row>
    <row r="561">
      <c r="D561" s="257"/>
      <c r="E561" s="257"/>
      <c r="F561" s="252"/>
      <c r="H561" s="369"/>
      <c r="I561" s="858"/>
      <c r="K561" s="247"/>
      <c r="L561" s="247"/>
    </row>
    <row r="562">
      <c r="D562" s="257"/>
      <c r="E562" s="257"/>
      <c r="F562" s="252"/>
      <c r="H562" s="369"/>
      <c r="I562" s="858"/>
      <c r="K562" s="247"/>
      <c r="L562" s="247"/>
    </row>
    <row r="563">
      <c r="D563" s="257"/>
      <c r="E563" s="257"/>
      <c r="F563" s="252"/>
      <c r="H563" s="369"/>
      <c r="I563" s="858"/>
      <c r="K563" s="247"/>
      <c r="L563" s="247"/>
    </row>
    <row r="564">
      <c r="D564" s="257"/>
      <c r="E564" s="257"/>
      <c r="F564" s="252"/>
      <c r="H564" s="369"/>
      <c r="I564" s="858"/>
      <c r="K564" s="247"/>
      <c r="L564" s="247"/>
    </row>
    <row r="565">
      <c r="D565" s="257"/>
      <c r="E565" s="257"/>
      <c r="F565" s="252"/>
      <c r="H565" s="369"/>
      <c r="I565" s="858"/>
      <c r="K565" s="247"/>
      <c r="L565" s="247"/>
    </row>
    <row r="566">
      <c r="D566" s="257"/>
      <c r="E566" s="257"/>
      <c r="F566" s="252"/>
      <c r="H566" s="369"/>
      <c r="I566" s="858"/>
      <c r="K566" s="247"/>
      <c r="L566" s="247"/>
    </row>
    <row r="567">
      <c r="D567" s="257"/>
      <c r="E567" s="257"/>
      <c r="F567" s="252"/>
      <c r="H567" s="369"/>
      <c r="I567" s="858"/>
      <c r="K567" s="247"/>
      <c r="L567" s="247"/>
    </row>
    <row r="568">
      <c r="D568" s="257"/>
      <c r="E568" s="257"/>
      <c r="F568" s="252"/>
      <c r="H568" s="369"/>
      <c r="I568" s="858"/>
      <c r="K568" s="247"/>
      <c r="L568" s="247"/>
    </row>
    <row r="569">
      <c r="D569" s="257"/>
      <c r="E569" s="257"/>
      <c r="F569" s="252"/>
      <c r="H569" s="369"/>
      <c r="I569" s="858"/>
      <c r="K569" s="247"/>
      <c r="L569" s="247"/>
    </row>
    <row r="570">
      <c r="D570" s="257"/>
      <c r="E570" s="257"/>
      <c r="F570" s="252"/>
      <c r="H570" s="369"/>
      <c r="I570" s="858"/>
      <c r="K570" s="247"/>
      <c r="L570" s="247"/>
    </row>
    <row r="571">
      <c r="D571" s="257"/>
      <c r="E571" s="257"/>
      <c r="F571" s="252"/>
      <c r="H571" s="369"/>
      <c r="I571" s="858"/>
      <c r="K571" s="247"/>
      <c r="L571" s="247"/>
    </row>
    <row r="572">
      <c r="D572" s="257"/>
      <c r="E572" s="257"/>
      <c r="F572" s="252"/>
      <c r="H572" s="369"/>
      <c r="I572" s="858"/>
      <c r="K572" s="247"/>
      <c r="L572" s="247"/>
    </row>
    <row r="573">
      <c r="D573" s="257"/>
      <c r="E573" s="257"/>
      <c r="F573" s="252"/>
      <c r="H573" s="369"/>
      <c r="I573" s="858"/>
      <c r="K573" s="247"/>
      <c r="L573" s="247"/>
    </row>
    <row r="574">
      <c r="D574" s="257"/>
      <c r="E574" s="257"/>
      <c r="F574" s="252"/>
      <c r="H574" s="369"/>
      <c r="I574" s="858"/>
      <c r="K574" s="247"/>
      <c r="L574" s="247"/>
    </row>
    <row r="575">
      <c r="D575" s="257"/>
      <c r="E575" s="257"/>
      <c r="F575" s="252"/>
      <c r="H575" s="369"/>
      <c r="I575" s="858"/>
      <c r="K575" s="247"/>
      <c r="L575" s="247"/>
    </row>
    <row r="576">
      <c r="D576" s="257"/>
      <c r="E576" s="257"/>
      <c r="F576" s="252"/>
      <c r="H576" s="369"/>
      <c r="I576" s="858"/>
      <c r="K576" s="247"/>
      <c r="L576" s="247"/>
    </row>
    <row r="577">
      <c r="D577" s="257"/>
      <c r="E577" s="257"/>
      <c r="F577" s="252"/>
      <c r="H577" s="369"/>
      <c r="I577" s="858"/>
      <c r="K577" s="247"/>
      <c r="L577" s="247"/>
    </row>
    <row r="578">
      <c r="D578" s="257"/>
      <c r="E578" s="257"/>
      <c r="F578" s="252"/>
      <c r="H578" s="369"/>
      <c r="I578" s="858"/>
      <c r="K578" s="247"/>
      <c r="L578" s="247"/>
    </row>
    <row r="579">
      <c r="D579" s="257"/>
      <c r="E579" s="257"/>
      <c r="F579" s="252"/>
      <c r="H579" s="369"/>
      <c r="I579" s="858"/>
      <c r="K579" s="247"/>
      <c r="L579" s="247"/>
    </row>
    <row r="580">
      <c r="D580" s="257"/>
      <c r="E580" s="257"/>
      <c r="F580" s="252"/>
      <c r="H580" s="369"/>
      <c r="I580" s="858"/>
      <c r="K580" s="247"/>
      <c r="L580" s="247"/>
    </row>
    <row r="581">
      <c r="D581" s="257"/>
      <c r="E581" s="257"/>
      <c r="F581" s="252"/>
      <c r="H581" s="369"/>
      <c r="I581" s="858"/>
      <c r="K581" s="247"/>
      <c r="L581" s="247"/>
    </row>
    <row r="582">
      <c r="D582" s="257"/>
      <c r="E582" s="257"/>
      <c r="F582" s="252"/>
      <c r="H582" s="369"/>
      <c r="I582" s="858"/>
      <c r="K582" s="247"/>
      <c r="L582" s="247"/>
    </row>
    <row r="583">
      <c r="D583" s="257"/>
      <c r="E583" s="257"/>
      <c r="F583" s="252"/>
      <c r="H583" s="369"/>
      <c r="I583" s="858"/>
      <c r="K583" s="247"/>
      <c r="L583" s="247"/>
    </row>
    <row r="584">
      <c r="D584" s="257"/>
      <c r="E584" s="257"/>
      <c r="F584" s="252"/>
      <c r="H584" s="369"/>
      <c r="I584" s="858"/>
      <c r="K584" s="247"/>
      <c r="L584" s="247"/>
    </row>
    <row r="585">
      <c r="D585" s="257"/>
      <c r="E585" s="257"/>
      <c r="F585" s="252"/>
      <c r="H585" s="369"/>
      <c r="I585" s="858"/>
      <c r="K585" s="247"/>
      <c r="L585" s="247"/>
    </row>
    <row r="586">
      <c r="D586" s="257"/>
      <c r="E586" s="257"/>
      <c r="F586" s="252"/>
      <c r="H586" s="369"/>
      <c r="I586" s="858"/>
      <c r="K586" s="247"/>
      <c r="L586" s="247"/>
    </row>
    <row r="587">
      <c r="D587" s="257"/>
      <c r="E587" s="257"/>
      <c r="F587" s="252"/>
      <c r="H587" s="369"/>
      <c r="I587" s="858"/>
      <c r="K587" s="247"/>
      <c r="L587" s="247"/>
    </row>
    <row r="588">
      <c r="D588" s="257"/>
      <c r="E588" s="257"/>
      <c r="F588" s="252"/>
      <c r="H588" s="369"/>
      <c r="I588" s="858"/>
      <c r="K588" s="247"/>
      <c r="L588" s="247"/>
    </row>
    <row r="589">
      <c r="D589" s="257"/>
      <c r="E589" s="257"/>
      <c r="F589" s="252"/>
      <c r="H589" s="369"/>
      <c r="I589" s="858"/>
      <c r="K589" s="247"/>
      <c r="L589" s="247"/>
    </row>
    <row r="590">
      <c r="D590" s="257"/>
      <c r="E590" s="257"/>
      <c r="F590" s="252"/>
      <c r="H590" s="369"/>
      <c r="I590" s="858"/>
      <c r="K590" s="247"/>
      <c r="L590" s="247"/>
    </row>
    <row r="591">
      <c r="D591" s="257"/>
      <c r="E591" s="257"/>
      <c r="F591" s="252"/>
      <c r="H591" s="369"/>
      <c r="I591" s="858"/>
      <c r="K591" s="247"/>
      <c r="L591" s="247"/>
    </row>
    <row r="592">
      <c r="D592" s="257"/>
      <c r="E592" s="257"/>
      <c r="F592" s="252"/>
      <c r="H592" s="369"/>
      <c r="I592" s="858"/>
      <c r="K592" s="247"/>
      <c r="L592" s="247"/>
    </row>
    <row r="593">
      <c r="D593" s="257"/>
      <c r="E593" s="257"/>
      <c r="F593" s="252"/>
      <c r="H593" s="369"/>
      <c r="I593" s="858"/>
      <c r="K593" s="247"/>
      <c r="L593" s="247"/>
    </row>
    <row r="594">
      <c r="D594" s="257"/>
      <c r="E594" s="257"/>
      <c r="F594" s="252"/>
      <c r="H594" s="369"/>
      <c r="I594" s="858"/>
      <c r="K594" s="247"/>
      <c r="L594" s="247"/>
    </row>
    <row r="595">
      <c r="D595" s="257"/>
      <c r="E595" s="257"/>
      <c r="F595" s="252"/>
      <c r="H595" s="369"/>
      <c r="I595" s="858"/>
      <c r="K595" s="247"/>
      <c r="L595" s="247"/>
    </row>
    <row r="596">
      <c r="D596" s="257"/>
      <c r="E596" s="257"/>
      <c r="F596" s="252"/>
      <c r="H596" s="369"/>
      <c r="I596" s="858"/>
      <c r="K596" s="247"/>
      <c r="L596" s="247"/>
    </row>
    <row r="597">
      <c r="D597" s="257"/>
      <c r="E597" s="257"/>
      <c r="F597" s="252"/>
      <c r="H597" s="369"/>
      <c r="I597" s="858"/>
      <c r="K597" s="247"/>
      <c r="L597" s="247"/>
    </row>
    <row r="598">
      <c r="D598" s="257"/>
      <c r="E598" s="257"/>
      <c r="F598" s="252"/>
      <c r="H598" s="369"/>
      <c r="I598" s="858"/>
      <c r="K598" s="247"/>
      <c r="L598" s="247"/>
    </row>
    <row r="599">
      <c r="D599" s="257"/>
      <c r="E599" s="257"/>
      <c r="F599" s="252"/>
      <c r="H599" s="369"/>
      <c r="I599" s="858"/>
      <c r="K599" s="247"/>
      <c r="L599" s="247"/>
    </row>
    <row r="600">
      <c r="D600" s="257"/>
      <c r="E600" s="257"/>
      <c r="F600" s="252"/>
      <c r="H600" s="369"/>
      <c r="I600" s="858"/>
      <c r="K600" s="247"/>
      <c r="L600" s="247"/>
    </row>
    <row r="601">
      <c r="D601" s="257"/>
      <c r="E601" s="257"/>
      <c r="F601" s="252"/>
      <c r="H601" s="369"/>
      <c r="I601" s="858"/>
      <c r="K601" s="247"/>
      <c r="L601" s="247"/>
    </row>
    <row r="602">
      <c r="D602" s="257"/>
      <c r="E602" s="257"/>
      <c r="F602" s="252"/>
      <c r="H602" s="369"/>
      <c r="I602" s="858"/>
      <c r="K602" s="247"/>
      <c r="L602" s="247"/>
    </row>
    <row r="603">
      <c r="D603" s="257"/>
      <c r="E603" s="257"/>
      <c r="F603" s="252"/>
      <c r="H603" s="369"/>
      <c r="I603" s="858"/>
      <c r="K603" s="247"/>
      <c r="L603" s="247"/>
    </row>
    <row r="604">
      <c r="D604" s="257"/>
      <c r="E604" s="257"/>
      <c r="F604" s="252"/>
      <c r="H604" s="369"/>
      <c r="I604" s="858"/>
      <c r="K604" s="247"/>
      <c r="L604" s="247"/>
    </row>
    <row r="605">
      <c r="D605" s="257"/>
      <c r="E605" s="257"/>
      <c r="F605" s="252"/>
      <c r="H605" s="369"/>
      <c r="I605" s="858"/>
      <c r="K605" s="247"/>
      <c r="L605" s="247"/>
    </row>
    <row r="606">
      <c r="D606" s="257"/>
      <c r="E606" s="257"/>
      <c r="F606" s="252"/>
      <c r="H606" s="369"/>
      <c r="I606" s="858"/>
      <c r="K606" s="247"/>
      <c r="L606" s="247"/>
    </row>
    <row r="607">
      <c r="D607" s="257"/>
      <c r="E607" s="257"/>
      <c r="F607" s="252"/>
      <c r="H607" s="369"/>
      <c r="I607" s="858"/>
      <c r="K607" s="247"/>
      <c r="L607" s="247"/>
    </row>
    <row r="608">
      <c r="D608" s="257"/>
      <c r="E608" s="257"/>
      <c r="F608" s="252"/>
      <c r="H608" s="369"/>
      <c r="I608" s="858"/>
      <c r="K608" s="247"/>
      <c r="L608" s="247"/>
    </row>
    <row r="609">
      <c r="D609" s="257"/>
      <c r="E609" s="257"/>
      <c r="F609" s="252"/>
      <c r="H609" s="369"/>
      <c r="I609" s="858"/>
      <c r="K609" s="247"/>
      <c r="L609" s="247"/>
    </row>
    <row r="610">
      <c r="D610" s="257"/>
      <c r="E610" s="257"/>
      <c r="F610" s="252"/>
      <c r="H610" s="369"/>
      <c r="I610" s="858"/>
      <c r="K610" s="247"/>
      <c r="L610" s="247"/>
    </row>
    <row r="611">
      <c r="D611" s="257"/>
      <c r="E611" s="257"/>
      <c r="F611" s="252"/>
      <c r="H611" s="369"/>
      <c r="I611" s="858"/>
      <c r="K611" s="247"/>
      <c r="L611" s="247"/>
    </row>
    <row r="612">
      <c r="D612" s="257"/>
      <c r="E612" s="257"/>
      <c r="F612" s="252"/>
      <c r="H612" s="369"/>
      <c r="I612" s="858"/>
      <c r="K612" s="247"/>
      <c r="L612" s="247"/>
    </row>
    <row r="613">
      <c r="D613" s="257"/>
      <c r="E613" s="257"/>
      <c r="F613" s="252"/>
      <c r="H613" s="369"/>
      <c r="I613" s="858"/>
      <c r="K613" s="247"/>
      <c r="L613" s="247"/>
    </row>
    <row r="614">
      <c r="D614" s="257"/>
      <c r="E614" s="257"/>
      <c r="F614" s="252"/>
      <c r="H614" s="369"/>
      <c r="I614" s="858"/>
      <c r="K614" s="247"/>
      <c r="L614" s="247"/>
    </row>
    <row r="615">
      <c r="D615" s="257"/>
      <c r="E615" s="257"/>
      <c r="F615" s="252"/>
      <c r="H615" s="369"/>
      <c r="I615" s="858"/>
      <c r="K615" s="247"/>
      <c r="L615" s="247"/>
    </row>
    <row r="616">
      <c r="D616" s="257"/>
      <c r="E616" s="257"/>
      <c r="F616" s="252"/>
      <c r="H616" s="369"/>
      <c r="I616" s="858"/>
      <c r="K616" s="247"/>
      <c r="L616" s="247"/>
    </row>
    <row r="617">
      <c r="D617" s="257"/>
      <c r="E617" s="257"/>
      <c r="F617" s="252"/>
      <c r="H617" s="369"/>
      <c r="I617" s="858"/>
      <c r="K617" s="247"/>
      <c r="L617" s="247"/>
    </row>
    <row r="618">
      <c r="D618" s="257"/>
      <c r="E618" s="257"/>
      <c r="F618" s="252"/>
      <c r="H618" s="369"/>
      <c r="I618" s="858"/>
      <c r="K618" s="247"/>
      <c r="L618" s="247"/>
    </row>
    <row r="619">
      <c r="D619" s="257"/>
      <c r="E619" s="257"/>
      <c r="F619" s="252"/>
      <c r="H619" s="369"/>
      <c r="I619" s="858"/>
      <c r="K619" s="247"/>
      <c r="L619" s="247"/>
    </row>
    <row r="620">
      <c r="D620" s="257"/>
      <c r="E620" s="257"/>
      <c r="F620" s="252"/>
      <c r="H620" s="369"/>
      <c r="I620" s="858"/>
      <c r="K620" s="247"/>
      <c r="L620" s="247"/>
    </row>
    <row r="621">
      <c r="D621" s="257"/>
      <c r="E621" s="257"/>
      <c r="F621" s="252"/>
      <c r="H621" s="369"/>
      <c r="I621" s="858"/>
      <c r="K621" s="247"/>
      <c r="L621" s="247"/>
    </row>
    <row r="622">
      <c r="D622" s="257"/>
      <c r="E622" s="257"/>
      <c r="F622" s="252"/>
      <c r="H622" s="369"/>
      <c r="I622" s="858"/>
      <c r="K622" s="247"/>
      <c r="L622" s="247"/>
    </row>
    <row r="623">
      <c r="D623" s="257"/>
      <c r="E623" s="257"/>
      <c r="F623" s="252"/>
      <c r="H623" s="369"/>
      <c r="I623" s="858"/>
      <c r="K623" s="247"/>
      <c r="L623" s="247"/>
    </row>
    <row r="624">
      <c r="D624" s="257"/>
      <c r="E624" s="257"/>
      <c r="F624" s="252"/>
      <c r="H624" s="369"/>
      <c r="I624" s="858"/>
      <c r="K624" s="247"/>
      <c r="L624" s="247"/>
    </row>
    <row r="625">
      <c r="D625" s="257"/>
      <c r="E625" s="257"/>
      <c r="F625" s="252"/>
      <c r="H625" s="369"/>
      <c r="I625" s="858"/>
      <c r="K625" s="247"/>
      <c r="L625" s="247"/>
    </row>
    <row r="626">
      <c r="D626" s="257"/>
      <c r="E626" s="257"/>
      <c r="F626" s="252"/>
      <c r="H626" s="369"/>
      <c r="I626" s="858"/>
      <c r="K626" s="247"/>
      <c r="L626" s="247"/>
    </row>
    <row r="627">
      <c r="D627" s="257"/>
      <c r="E627" s="257"/>
      <c r="F627" s="252"/>
      <c r="H627" s="369"/>
      <c r="I627" s="858"/>
      <c r="K627" s="247"/>
      <c r="L627" s="247"/>
    </row>
    <row r="628">
      <c r="D628" s="257"/>
      <c r="E628" s="257"/>
      <c r="F628" s="252"/>
      <c r="H628" s="369"/>
      <c r="I628" s="858"/>
      <c r="K628" s="247"/>
      <c r="L628" s="247"/>
    </row>
    <row r="629">
      <c r="D629" s="257"/>
      <c r="E629" s="257"/>
      <c r="F629" s="252"/>
      <c r="H629" s="369"/>
      <c r="I629" s="858"/>
      <c r="K629" s="247"/>
      <c r="L629" s="247"/>
    </row>
    <row r="630">
      <c r="D630" s="257"/>
      <c r="E630" s="257"/>
      <c r="F630" s="252"/>
      <c r="H630" s="369"/>
      <c r="I630" s="858"/>
      <c r="K630" s="247"/>
      <c r="L630" s="247"/>
    </row>
    <row r="631">
      <c r="D631" s="257"/>
      <c r="E631" s="257"/>
      <c r="F631" s="252"/>
      <c r="H631" s="369"/>
      <c r="I631" s="858"/>
      <c r="K631" s="247"/>
      <c r="L631" s="247"/>
    </row>
    <row r="632">
      <c r="D632" s="257"/>
      <c r="E632" s="257"/>
      <c r="F632" s="252"/>
      <c r="H632" s="369"/>
      <c r="I632" s="858"/>
      <c r="K632" s="247"/>
      <c r="L632" s="247"/>
    </row>
    <row r="633">
      <c r="D633" s="257"/>
      <c r="E633" s="257"/>
      <c r="F633" s="252"/>
      <c r="H633" s="369"/>
      <c r="I633" s="858"/>
      <c r="K633" s="247"/>
      <c r="L633" s="247"/>
    </row>
    <row r="634">
      <c r="D634" s="257"/>
      <c r="E634" s="257"/>
      <c r="F634" s="252"/>
      <c r="H634" s="369"/>
      <c r="I634" s="858"/>
      <c r="K634" s="247"/>
      <c r="L634" s="247"/>
    </row>
    <row r="635">
      <c r="D635" s="257"/>
      <c r="E635" s="257"/>
      <c r="F635" s="252"/>
      <c r="H635" s="369"/>
      <c r="I635" s="858"/>
      <c r="K635" s="247"/>
      <c r="L635" s="247"/>
    </row>
    <row r="636">
      <c r="D636" s="257"/>
      <c r="E636" s="257"/>
      <c r="F636" s="252"/>
      <c r="H636" s="369"/>
      <c r="I636" s="858"/>
      <c r="K636" s="247"/>
      <c r="L636" s="247"/>
    </row>
    <row r="637">
      <c r="D637" s="257"/>
      <c r="E637" s="257"/>
      <c r="F637" s="252"/>
      <c r="H637" s="369"/>
      <c r="I637" s="858"/>
      <c r="K637" s="247"/>
      <c r="L637" s="247"/>
    </row>
    <row r="638">
      <c r="D638" s="257"/>
      <c r="E638" s="257"/>
      <c r="F638" s="252"/>
      <c r="H638" s="369"/>
      <c r="I638" s="858"/>
      <c r="K638" s="247"/>
      <c r="L638" s="247"/>
    </row>
    <row r="639">
      <c r="D639" s="257"/>
      <c r="E639" s="257"/>
      <c r="F639" s="252"/>
      <c r="H639" s="369"/>
      <c r="I639" s="858"/>
      <c r="K639" s="247"/>
      <c r="L639" s="247"/>
    </row>
    <row r="640">
      <c r="D640" s="257"/>
      <c r="E640" s="257"/>
      <c r="F640" s="252"/>
      <c r="H640" s="369"/>
      <c r="I640" s="858"/>
      <c r="K640" s="247"/>
      <c r="L640" s="247"/>
    </row>
    <row r="641">
      <c r="D641" s="257"/>
      <c r="E641" s="257"/>
      <c r="F641" s="252"/>
      <c r="H641" s="369"/>
      <c r="I641" s="858"/>
      <c r="K641" s="247"/>
      <c r="L641" s="247"/>
    </row>
    <row r="642">
      <c r="D642" s="257"/>
      <c r="E642" s="257"/>
      <c r="F642" s="252"/>
      <c r="H642" s="369"/>
      <c r="I642" s="858"/>
      <c r="K642" s="247"/>
      <c r="L642" s="247"/>
    </row>
    <row r="643">
      <c r="D643" s="257"/>
      <c r="E643" s="257"/>
      <c r="F643" s="252"/>
      <c r="H643" s="369"/>
      <c r="I643" s="858"/>
      <c r="K643" s="247"/>
      <c r="L643" s="247"/>
    </row>
    <row r="644">
      <c r="D644" s="257"/>
      <c r="E644" s="257"/>
      <c r="F644" s="252"/>
      <c r="H644" s="369"/>
      <c r="I644" s="858"/>
      <c r="K644" s="247"/>
      <c r="L644" s="247"/>
    </row>
    <row r="645">
      <c r="D645" s="257"/>
      <c r="E645" s="257"/>
      <c r="F645" s="252"/>
      <c r="H645" s="369"/>
      <c r="I645" s="858"/>
      <c r="K645" s="247"/>
      <c r="L645" s="247"/>
    </row>
    <row r="646">
      <c r="D646" s="257"/>
      <c r="E646" s="257"/>
      <c r="F646" s="252"/>
      <c r="H646" s="369"/>
      <c r="I646" s="858"/>
      <c r="K646" s="247"/>
      <c r="L646" s="247"/>
    </row>
    <row r="647">
      <c r="D647" s="257"/>
      <c r="E647" s="257"/>
      <c r="F647" s="252"/>
      <c r="H647" s="369"/>
      <c r="I647" s="858"/>
      <c r="K647" s="247"/>
      <c r="L647" s="247"/>
    </row>
    <row r="648">
      <c r="D648" s="257"/>
      <c r="E648" s="257"/>
      <c r="F648" s="252"/>
      <c r="H648" s="369"/>
      <c r="I648" s="858"/>
      <c r="K648" s="247"/>
      <c r="L648" s="247"/>
    </row>
    <row r="649">
      <c r="D649" s="257"/>
      <c r="E649" s="257"/>
      <c r="F649" s="252"/>
      <c r="H649" s="369"/>
      <c r="I649" s="858"/>
      <c r="K649" s="247"/>
      <c r="L649" s="247"/>
    </row>
    <row r="650">
      <c r="D650" s="257"/>
      <c r="E650" s="257"/>
      <c r="F650" s="252"/>
      <c r="H650" s="369"/>
      <c r="I650" s="858"/>
      <c r="K650" s="247"/>
      <c r="L650" s="247"/>
    </row>
    <row r="651">
      <c r="D651" s="257"/>
      <c r="E651" s="257"/>
      <c r="F651" s="252"/>
      <c r="H651" s="369"/>
      <c r="I651" s="858"/>
      <c r="K651" s="247"/>
      <c r="L651" s="247"/>
    </row>
    <row r="652">
      <c r="D652" s="257"/>
      <c r="E652" s="257"/>
      <c r="F652" s="252"/>
      <c r="H652" s="369"/>
      <c r="I652" s="858"/>
      <c r="K652" s="247"/>
      <c r="L652" s="247"/>
    </row>
    <row r="653">
      <c r="D653" s="257"/>
      <c r="E653" s="257"/>
      <c r="F653" s="252"/>
      <c r="H653" s="369"/>
      <c r="I653" s="858"/>
      <c r="K653" s="247"/>
      <c r="L653" s="247"/>
    </row>
    <row r="654">
      <c r="D654" s="257"/>
      <c r="E654" s="257"/>
      <c r="F654" s="252"/>
      <c r="H654" s="369"/>
      <c r="I654" s="858"/>
      <c r="K654" s="247"/>
      <c r="L654" s="247"/>
    </row>
    <row r="655">
      <c r="D655" s="257"/>
      <c r="E655" s="257"/>
      <c r="F655" s="252"/>
      <c r="H655" s="369"/>
      <c r="I655" s="858"/>
      <c r="K655" s="247"/>
      <c r="L655" s="247"/>
    </row>
    <row r="656">
      <c r="D656" s="257"/>
      <c r="E656" s="257"/>
      <c r="F656" s="252"/>
      <c r="H656" s="369"/>
      <c r="I656" s="858"/>
      <c r="K656" s="247"/>
      <c r="L656" s="247"/>
    </row>
    <row r="657">
      <c r="D657" s="257"/>
      <c r="E657" s="257"/>
      <c r="F657" s="252"/>
      <c r="H657" s="369"/>
      <c r="I657" s="858"/>
      <c r="K657" s="247"/>
      <c r="L657" s="247"/>
    </row>
    <row r="658">
      <c r="D658" s="257"/>
      <c r="E658" s="257"/>
      <c r="F658" s="252"/>
      <c r="H658" s="369"/>
      <c r="I658" s="858"/>
      <c r="K658" s="247"/>
      <c r="L658" s="247"/>
    </row>
    <row r="659">
      <c r="D659" s="257"/>
      <c r="E659" s="257"/>
      <c r="F659" s="252"/>
      <c r="H659" s="369"/>
      <c r="I659" s="858"/>
      <c r="K659" s="247"/>
      <c r="L659" s="247"/>
    </row>
    <row r="660">
      <c r="D660" s="257"/>
      <c r="E660" s="257"/>
      <c r="F660" s="252"/>
      <c r="H660" s="369"/>
      <c r="I660" s="858"/>
      <c r="K660" s="247"/>
      <c r="L660" s="247"/>
    </row>
    <row r="661">
      <c r="D661" s="257"/>
      <c r="E661" s="257"/>
      <c r="F661" s="252"/>
      <c r="H661" s="369"/>
      <c r="I661" s="858"/>
      <c r="K661" s="247"/>
      <c r="L661" s="247"/>
    </row>
    <row r="662">
      <c r="D662" s="257"/>
      <c r="E662" s="257"/>
      <c r="F662" s="252"/>
      <c r="H662" s="369"/>
      <c r="I662" s="858"/>
      <c r="K662" s="247"/>
      <c r="L662" s="247"/>
    </row>
    <row r="663">
      <c r="D663" s="257"/>
      <c r="E663" s="257"/>
      <c r="F663" s="252"/>
      <c r="H663" s="369"/>
      <c r="I663" s="858"/>
      <c r="K663" s="247"/>
      <c r="L663" s="247"/>
    </row>
    <row r="664">
      <c r="D664" s="257"/>
      <c r="E664" s="257"/>
      <c r="F664" s="252"/>
      <c r="H664" s="369"/>
      <c r="I664" s="858"/>
      <c r="K664" s="247"/>
      <c r="L664" s="247"/>
    </row>
    <row r="665">
      <c r="D665" s="257"/>
      <c r="E665" s="257"/>
      <c r="F665" s="252"/>
      <c r="H665" s="369"/>
      <c r="I665" s="858"/>
      <c r="K665" s="247"/>
      <c r="L665" s="247"/>
    </row>
    <row r="666">
      <c r="D666" s="257"/>
      <c r="E666" s="257"/>
      <c r="F666" s="252"/>
      <c r="H666" s="369"/>
      <c r="I666" s="858"/>
      <c r="K666" s="247"/>
      <c r="L666" s="247"/>
    </row>
    <row r="667">
      <c r="D667" s="257"/>
      <c r="E667" s="257"/>
      <c r="F667" s="252"/>
      <c r="H667" s="369"/>
      <c r="I667" s="858"/>
      <c r="K667" s="247"/>
      <c r="L667" s="247"/>
    </row>
    <row r="668">
      <c r="D668" s="257"/>
      <c r="E668" s="257"/>
      <c r="F668" s="252"/>
      <c r="H668" s="369"/>
      <c r="I668" s="858"/>
      <c r="K668" s="247"/>
      <c r="L668" s="247"/>
    </row>
    <row r="669">
      <c r="D669" s="257"/>
      <c r="E669" s="257"/>
      <c r="F669" s="252"/>
      <c r="H669" s="369"/>
      <c r="I669" s="858"/>
      <c r="K669" s="247"/>
      <c r="L669" s="247"/>
    </row>
    <row r="670">
      <c r="D670" s="257"/>
      <c r="E670" s="257"/>
      <c r="F670" s="252"/>
      <c r="H670" s="369"/>
      <c r="I670" s="858"/>
      <c r="K670" s="247"/>
      <c r="L670" s="247"/>
    </row>
    <row r="671">
      <c r="D671" s="257"/>
      <c r="E671" s="257"/>
      <c r="F671" s="252"/>
      <c r="H671" s="369"/>
      <c r="I671" s="858"/>
      <c r="K671" s="247"/>
      <c r="L671" s="247"/>
    </row>
    <row r="672">
      <c r="D672" s="257"/>
      <c r="E672" s="257"/>
      <c r="F672" s="252"/>
      <c r="H672" s="369"/>
      <c r="I672" s="858"/>
      <c r="K672" s="247"/>
      <c r="L672" s="247"/>
    </row>
    <row r="673">
      <c r="D673" s="257"/>
      <c r="E673" s="257"/>
      <c r="F673" s="252"/>
      <c r="H673" s="369"/>
      <c r="I673" s="858"/>
      <c r="K673" s="247"/>
      <c r="L673" s="247"/>
    </row>
    <row r="674">
      <c r="D674" s="257"/>
      <c r="E674" s="257"/>
      <c r="F674" s="252"/>
      <c r="H674" s="369"/>
      <c r="I674" s="858"/>
      <c r="K674" s="247"/>
      <c r="L674" s="247"/>
    </row>
    <row r="675">
      <c r="D675" s="257"/>
      <c r="E675" s="257"/>
      <c r="F675" s="252"/>
      <c r="H675" s="369"/>
      <c r="I675" s="858"/>
      <c r="K675" s="247"/>
      <c r="L675" s="247"/>
    </row>
    <row r="676">
      <c r="D676" s="257"/>
      <c r="E676" s="257"/>
      <c r="F676" s="252"/>
      <c r="H676" s="369"/>
      <c r="I676" s="858"/>
      <c r="K676" s="247"/>
      <c r="L676" s="247"/>
    </row>
    <row r="677">
      <c r="D677" s="257"/>
      <c r="E677" s="257"/>
      <c r="F677" s="252"/>
      <c r="H677" s="369"/>
      <c r="I677" s="858"/>
      <c r="K677" s="247"/>
      <c r="L677" s="247"/>
    </row>
    <row r="678">
      <c r="D678" s="257"/>
      <c r="E678" s="257"/>
      <c r="F678" s="252"/>
      <c r="H678" s="369"/>
      <c r="I678" s="858"/>
      <c r="K678" s="247"/>
      <c r="L678" s="247"/>
    </row>
    <row r="679">
      <c r="D679" s="257"/>
      <c r="E679" s="257"/>
      <c r="F679" s="252"/>
      <c r="H679" s="369"/>
      <c r="I679" s="858"/>
      <c r="K679" s="247"/>
      <c r="L679" s="247"/>
    </row>
    <row r="680">
      <c r="D680" s="257"/>
      <c r="E680" s="257"/>
      <c r="F680" s="252"/>
      <c r="H680" s="369"/>
      <c r="I680" s="858"/>
      <c r="K680" s="247"/>
      <c r="L680" s="247"/>
    </row>
    <row r="681">
      <c r="D681" s="257"/>
      <c r="E681" s="257"/>
      <c r="F681" s="252"/>
      <c r="H681" s="369"/>
      <c r="I681" s="858"/>
      <c r="K681" s="247"/>
      <c r="L681" s="247"/>
    </row>
    <row r="682">
      <c r="D682" s="257"/>
      <c r="E682" s="257"/>
      <c r="F682" s="252"/>
      <c r="H682" s="369"/>
      <c r="I682" s="858"/>
      <c r="K682" s="247"/>
      <c r="L682" s="247"/>
    </row>
    <row r="683">
      <c r="D683" s="257"/>
      <c r="E683" s="257"/>
      <c r="F683" s="252"/>
      <c r="H683" s="369"/>
      <c r="I683" s="858"/>
      <c r="K683" s="247"/>
      <c r="L683" s="247"/>
    </row>
    <row r="684">
      <c r="D684" s="257"/>
      <c r="E684" s="257"/>
      <c r="F684" s="252"/>
      <c r="H684" s="369"/>
      <c r="I684" s="858"/>
      <c r="K684" s="247"/>
      <c r="L684" s="247"/>
    </row>
    <row r="685">
      <c r="D685" s="257"/>
      <c r="E685" s="257"/>
      <c r="F685" s="252"/>
      <c r="H685" s="369"/>
      <c r="I685" s="858"/>
      <c r="K685" s="247"/>
      <c r="L685" s="247"/>
    </row>
    <row r="686">
      <c r="D686" s="257"/>
      <c r="E686" s="257"/>
      <c r="F686" s="252"/>
      <c r="H686" s="369"/>
      <c r="I686" s="858"/>
      <c r="K686" s="247"/>
      <c r="L686" s="247"/>
    </row>
    <row r="687">
      <c r="D687" s="257"/>
      <c r="E687" s="257"/>
      <c r="F687" s="252"/>
      <c r="H687" s="369"/>
      <c r="I687" s="858"/>
      <c r="K687" s="247"/>
      <c r="L687" s="247"/>
    </row>
    <row r="688">
      <c r="D688" s="257"/>
      <c r="E688" s="257"/>
      <c r="F688" s="252"/>
      <c r="H688" s="369"/>
      <c r="I688" s="858"/>
      <c r="K688" s="247"/>
      <c r="L688" s="247"/>
    </row>
    <row r="689">
      <c r="D689" s="257"/>
      <c r="E689" s="257"/>
      <c r="F689" s="252"/>
      <c r="H689" s="369"/>
      <c r="I689" s="858"/>
      <c r="K689" s="247"/>
      <c r="L689" s="247"/>
    </row>
    <row r="690">
      <c r="D690" s="257"/>
      <c r="E690" s="257"/>
      <c r="F690" s="252"/>
      <c r="H690" s="369"/>
      <c r="I690" s="858"/>
      <c r="K690" s="247"/>
      <c r="L690" s="247"/>
    </row>
    <row r="691">
      <c r="D691" s="257"/>
      <c r="E691" s="257"/>
      <c r="F691" s="252"/>
      <c r="H691" s="369"/>
      <c r="I691" s="858"/>
      <c r="K691" s="247"/>
      <c r="L691" s="247"/>
    </row>
    <row r="692">
      <c r="D692" s="257"/>
      <c r="E692" s="257"/>
      <c r="F692" s="252"/>
      <c r="H692" s="369"/>
      <c r="I692" s="858"/>
      <c r="K692" s="247"/>
      <c r="L692" s="247"/>
    </row>
    <row r="693">
      <c r="D693" s="257"/>
      <c r="E693" s="257"/>
      <c r="F693" s="252"/>
      <c r="H693" s="369"/>
      <c r="I693" s="858"/>
      <c r="K693" s="247"/>
      <c r="L693" s="247"/>
    </row>
    <row r="694">
      <c r="D694" s="257"/>
      <c r="E694" s="257"/>
      <c r="F694" s="252"/>
      <c r="H694" s="369"/>
      <c r="I694" s="858"/>
      <c r="K694" s="247"/>
      <c r="L694" s="247"/>
    </row>
    <row r="695">
      <c r="D695" s="257"/>
      <c r="E695" s="257"/>
      <c r="F695" s="252"/>
      <c r="H695" s="369"/>
      <c r="I695" s="858"/>
      <c r="K695" s="247"/>
      <c r="L695" s="247"/>
    </row>
    <row r="696">
      <c r="D696" s="257"/>
      <c r="E696" s="257"/>
      <c r="F696" s="252"/>
      <c r="H696" s="369"/>
      <c r="I696" s="858"/>
      <c r="K696" s="247"/>
      <c r="L696" s="247"/>
    </row>
    <row r="697">
      <c r="D697" s="257"/>
      <c r="E697" s="257"/>
      <c r="F697" s="252"/>
      <c r="H697" s="369"/>
      <c r="I697" s="858"/>
      <c r="K697" s="247"/>
      <c r="L697" s="247"/>
    </row>
    <row r="698">
      <c r="D698" s="257"/>
      <c r="E698" s="257"/>
      <c r="F698" s="252"/>
      <c r="H698" s="369"/>
      <c r="I698" s="858"/>
      <c r="K698" s="247"/>
      <c r="L698" s="247"/>
    </row>
    <row r="699">
      <c r="D699" s="257"/>
      <c r="E699" s="257"/>
      <c r="F699" s="252"/>
      <c r="H699" s="369"/>
      <c r="I699" s="858"/>
      <c r="K699" s="247"/>
      <c r="L699" s="247"/>
    </row>
    <row r="700">
      <c r="D700" s="257"/>
      <c r="E700" s="257"/>
      <c r="F700" s="252"/>
      <c r="H700" s="369"/>
      <c r="I700" s="858"/>
      <c r="K700" s="247"/>
      <c r="L700" s="247"/>
    </row>
    <row r="701">
      <c r="D701" s="257"/>
      <c r="E701" s="257"/>
      <c r="F701" s="252"/>
      <c r="H701" s="369"/>
      <c r="I701" s="858"/>
      <c r="K701" s="247"/>
      <c r="L701" s="247"/>
    </row>
    <row r="702">
      <c r="D702" s="257"/>
      <c r="E702" s="257"/>
      <c r="F702" s="252"/>
      <c r="H702" s="369"/>
      <c r="I702" s="858"/>
    </row>
    <row r="703">
      <c r="D703" s="257"/>
      <c r="E703" s="257"/>
      <c r="F703" s="252"/>
      <c r="H703" s="369"/>
      <c r="I703" s="858"/>
    </row>
    <row r="704">
      <c r="D704" s="257"/>
      <c r="E704" s="257"/>
      <c r="F704" s="252"/>
      <c r="H704" s="369"/>
      <c r="I704" s="858"/>
    </row>
    <row r="705">
      <c r="D705" s="257"/>
      <c r="E705" s="257"/>
      <c r="F705" s="252"/>
      <c r="H705" s="369"/>
      <c r="I705" s="858"/>
    </row>
    <row r="706">
      <c r="D706" s="257"/>
      <c r="E706" s="257"/>
      <c r="F706" s="252"/>
      <c r="H706" s="369"/>
      <c r="I706" s="858"/>
    </row>
    <row r="707">
      <c r="D707" s="257"/>
      <c r="E707" s="257"/>
      <c r="F707" s="252"/>
      <c r="H707" s="369"/>
      <c r="I707" s="858"/>
    </row>
    <row r="708">
      <c r="D708" s="257"/>
      <c r="E708" s="257"/>
      <c r="F708" s="252"/>
      <c r="H708" s="369"/>
      <c r="I708" s="858"/>
    </row>
    <row r="709">
      <c r="D709" s="257"/>
      <c r="E709" s="257"/>
      <c r="F709" s="252"/>
      <c r="H709" s="369"/>
      <c r="I709" s="858"/>
    </row>
    <row r="710">
      <c r="D710" s="257"/>
      <c r="E710" s="257"/>
      <c r="F710" s="252"/>
      <c r="H710" s="369"/>
      <c r="I710" s="858"/>
    </row>
    <row r="711">
      <c r="D711" s="257"/>
      <c r="E711" s="257"/>
      <c r="F711" s="252"/>
      <c r="H711" s="369"/>
      <c r="I711" s="858"/>
    </row>
  </sheetData>
  <mergeCells count="81">
    <mergeCell ref="B20:B25"/>
    <mergeCell ref="C20:C25"/>
    <mergeCell ref="A26:A29"/>
    <mergeCell ref="B26:B29"/>
    <mergeCell ref="C26:C29"/>
    <mergeCell ref="E26:E29"/>
    <mergeCell ref="A2:A11"/>
    <mergeCell ref="B2:B11"/>
    <mergeCell ref="C2:C11"/>
    <mergeCell ref="A13:A19"/>
    <mergeCell ref="B13:B19"/>
    <mergeCell ref="C13:C19"/>
    <mergeCell ref="A20:A25"/>
    <mergeCell ref="B43:B49"/>
    <mergeCell ref="C43:C49"/>
    <mergeCell ref="A30:A36"/>
    <mergeCell ref="B30:B36"/>
    <mergeCell ref="C30:C36"/>
    <mergeCell ref="A37:A42"/>
    <mergeCell ref="B37:B42"/>
    <mergeCell ref="C37:C42"/>
    <mergeCell ref="A43:A49"/>
    <mergeCell ref="A50:A55"/>
    <mergeCell ref="B50:B55"/>
    <mergeCell ref="C50:C55"/>
    <mergeCell ref="A56:G56"/>
    <mergeCell ref="A57:A61"/>
    <mergeCell ref="B57:B61"/>
    <mergeCell ref="C57:C61"/>
    <mergeCell ref="A79:A83"/>
    <mergeCell ref="B79:B83"/>
    <mergeCell ref="C79:C83"/>
    <mergeCell ref="A95:G95"/>
    <mergeCell ref="A123:G123"/>
    <mergeCell ref="B124:B126"/>
    <mergeCell ref="C124:C126"/>
    <mergeCell ref="D134:I134"/>
    <mergeCell ref="D135:I135"/>
    <mergeCell ref="A113:A116"/>
    <mergeCell ref="B113:B116"/>
    <mergeCell ref="C113:C116"/>
    <mergeCell ref="A117:A122"/>
    <mergeCell ref="B117:B122"/>
    <mergeCell ref="C117:C122"/>
    <mergeCell ref="A124:A126"/>
    <mergeCell ref="B72:B78"/>
    <mergeCell ref="C72:C78"/>
    <mergeCell ref="A62:A67"/>
    <mergeCell ref="B62:B67"/>
    <mergeCell ref="C62:C67"/>
    <mergeCell ref="A68:A71"/>
    <mergeCell ref="B68:B71"/>
    <mergeCell ref="C68:C71"/>
    <mergeCell ref="A72:A78"/>
    <mergeCell ref="B96:B99"/>
    <mergeCell ref="C96:C99"/>
    <mergeCell ref="A84:A87"/>
    <mergeCell ref="B84:B87"/>
    <mergeCell ref="C84:C87"/>
    <mergeCell ref="A88:A94"/>
    <mergeCell ref="B88:B94"/>
    <mergeCell ref="C88:C94"/>
    <mergeCell ref="A96:A99"/>
    <mergeCell ref="B109:B112"/>
    <mergeCell ref="C109:C112"/>
    <mergeCell ref="A100:A103"/>
    <mergeCell ref="B100:B103"/>
    <mergeCell ref="C100:C103"/>
    <mergeCell ref="A104:A108"/>
    <mergeCell ref="B104:B108"/>
    <mergeCell ref="C104:C108"/>
    <mergeCell ref="A109:A112"/>
    <mergeCell ref="B132:B133"/>
    <mergeCell ref="C132:C133"/>
    <mergeCell ref="A127:A128"/>
    <mergeCell ref="B127:B128"/>
    <mergeCell ref="C127:C128"/>
    <mergeCell ref="A129:A130"/>
    <mergeCell ref="B129:B130"/>
    <mergeCell ref="C129:C130"/>
    <mergeCell ref="A132:A133"/>
  </mergeCells>
  <conditionalFormatting sqref="C2:C55 C57:C94 C96:C122 C124:C608">
    <cfRule type="colorScale" priority="1">
      <colorScale>
        <cfvo type="formula" val="6"/>
        <cfvo type="formula" val="10"/>
        <cfvo type="formula" val="15"/>
        <color rgb="FF93C47D"/>
        <color rgb="FFFFFF00"/>
        <color rgb="FFCC0000"/>
      </colorScale>
    </cfRule>
  </conditionalFormatting>
  <conditionalFormatting sqref="D1:G42 H1:I711 D44:G44 D46:G55 D57:G60 D62:G62 D64:G66 D68:G94 D96:G122 D124:G711">
    <cfRule type="expression" dxfId="0" priority="2">
      <formula>$I1="Arms &amp; Arm Attachments"</formula>
    </cfRule>
  </conditionalFormatting>
  <conditionalFormatting sqref="D1:G42 H1:I711 D44:G44 D46:G55 D57:G60 D62:G62 D64:G66 D68:G94 D96:G122 D124:G711">
    <cfRule type="expression" dxfId="1" priority="3">
      <formula>$I1="Auditory System"</formula>
    </cfRule>
  </conditionalFormatting>
  <conditionalFormatting sqref="D1:G42 H1:I711 D44:G44 D46:G55 D57:G60 D62:G62 D64:G66 D68:G94 D96:G122 D124:G711">
    <cfRule type="expression" dxfId="2" priority="4">
      <formula>$I1="Circulatory &amp; Immune Systems"</formula>
    </cfRule>
  </conditionalFormatting>
  <conditionalFormatting sqref="D1:G42 H1:I711 D44:G44 D46:G55 D57:G60 D62:G62 D64:G66 D68:G94 D96:G122 D124:G711">
    <cfRule type="expression" dxfId="3" priority="5">
      <formula>$I1="Hands &amp; Feet"</formula>
    </cfRule>
  </conditionalFormatting>
  <conditionalFormatting sqref="D1:G42 H1:I711 D44:G44 D46:G55 D57:G60 D62:G62 D64:G66 D68:G94 D96:G122 D124:G711">
    <cfRule type="expression" dxfId="4" priority="6">
      <formula>$I1="Integumentary System"</formula>
    </cfRule>
  </conditionalFormatting>
  <conditionalFormatting sqref="D1:G42 H1:I711 D44:G44 D46:G55 D57:G60 D62:G62 D64:G66 D68:G94 D96:G122 D124:G711">
    <cfRule type="expression" dxfId="5" priority="7">
      <formula>$I1="Legs &amp; Mobility"</formula>
    </cfRule>
  </conditionalFormatting>
  <conditionalFormatting sqref="D1:G42 H1:I711 D44:G44 D46:G55 D57:G60 D62:G62 D64:G66 D68:G94 D96:G122 D124:G711">
    <cfRule type="expression" dxfId="6" priority="8">
      <formula>$I1="Neural"</formula>
    </cfRule>
  </conditionalFormatting>
  <conditionalFormatting sqref="D1:G42 H1:I711 D44:G44 D46:G55 D57:G60 D62:G62 D64:G66 D68:G94 D96:G122 D124:G711">
    <cfRule type="expression" dxfId="7" priority="9">
      <formula>$I1="Universal Muscular (Arms/Legs/Tail)"</formula>
    </cfRule>
  </conditionalFormatting>
  <conditionalFormatting sqref="D1:G42 H1:I711 D44:G44 D46:G55 D57:G60 D62:G62 D64:G66 D68:G94 D96:G122 D124:G711">
    <cfRule type="expression" dxfId="8" priority="10">
      <formula>$I1="Ocular System"</formula>
    </cfRule>
  </conditionalFormatting>
  <conditionalFormatting sqref="D1:G42 H1:I711 D44:G44 D46:G55 D57:G60 D62:G62 D64:G66 D68:G94 D96:G122 D124:G711">
    <cfRule type="expression" dxfId="9" priority="11">
      <formula>$I1="Miscellaneous"</formula>
    </cfRule>
  </conditionalFormatting>
  <conditionalFormatting sqref="D1:G42 H1:I711 D44:G44 D46:G55 D57:G60 D62:G62 D64:G66 D68:G94 D96:G122 D124:G711">
    <cfRule type="expression" dxfId="10" priority="12">
      <formula>$I1="Skeleton &amp; Torso Musculature"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4" max="5" width="104.75"/>
    <col customWidth="1" min="6" max="6" width="58.25"/>
  </cols>
  <sheetData>
    <row r="1">
      <c r="A1" s="3" t="s">
        <v>1045</v>
      </c>
      <c r="B1" s="3"/>
      <c r="C1" s="3"/>
      <c r="D1" s="3"/>
      <c r="E1" s="3"/>
      <c r="F1" s="3"/>
    </row>
    <row r="2">
      <c r="A2" s="3"/>
      <c r="B2" s="3"/>
      <c r="C2" s="3"/>
      <c r="D2" s="3"/>
      <c r="E2" s="3"/>
      <c r="F2" s="3"/>
    </row>
    <row r="3">
      <c r="A3" s="3" t="s">
        <v>59</v>
      </c>
      <c r="B3" s="3">
        <v>1.0</v>
      </c>
      <c r="C3" s="3" t="s">
        <v>1046</v>
      </c>
      <c r="D3" s="3" t="s">
        <v>60</v>
      </c>
      <c r="E3" s="3" t="s">
        <v>61</v>
      </c>
      <c r="F3" s="3">
        <v>1200.0</v>
      </c>
    </row>
    <row r="4">
      <c r="A4" s="3" t="s">
        <v>127</v>
      </c>
      <c r="B4" s="3">
        <v>1.0</v>
      </c>
      <c r="C4" s="3" t="s">
        <v>1047</v>
      </c>
      <c r="D4" s="3" t="s">
        <v>1048</v>
      </c>
      <c r="E4" s="3" t="s">
        <v>1049</v>
      </c>
      <c r="F4" s="3">
        <v>4500.0</v>
      </c>
    </row>
    <row r="5">
      <c r="A5" s="3" t="s">
        <v>163</v>
      </c>
      <c r="B5" s="3">
        <v>2.0</v>
      </c>
      <c r="C5" s="3" t="s">
        <v>1050</v>
      </c>
      <c r="D5" s="3" t="s">
        <v>1051</v>
      </c>
      <c r="E5" s="3" t="s">
        <v>1052</v>
      </c>
      <c r="F5" s="3">
        <v>2500.0</v>
      </c>
    </row>
    <row r="6">
      <c r="A6" s="3" t="s">
        <v>154</v>
      </c>
      <c r="B6" s="3">
        <v>2.0</v>
      </c>
      <c r="C6" s="3" t="s">
        <v>145</v>
      </c>
      <c r="D6" s="3" t="s">
        <v>155</v>
      </c>
      <c r="E6" s="3" t="s">
        <v>156</v>
      </c>
      <c r="F6" s="3">
        <v>4500.0</v>
      </c>
    </row>
    <row r="7">
      <c r="A7" s="3" t="s">
        <v>23</v>
      </c>
      <c r="B7" s="3">
        <v>1.0</v>
      </c>
      <c r="C7" s="3" t="s">
        <v>1053</v>
      </c>
      <c r="D7" s="3" t="s">
        <v>308</v>
      </c>
      <c r="E7" s="3" t="s">
        <v>26</v>
      </c>
      <c r="F7" s="3">
        <v>1200.0</v>
      </c>
    </row>
    <row r="8">
      <c r="A8" s="3" t="s">
        <v>1054</v>
      </c>
      <c r="B8" s="859">
        <f>SUM(B3:B7)</f>
        <v>7</v>
      </c>
    </row>
    <row r="9">
      <c r="F9" s="253">
        <f>SUM(F3:F7)</f>
        <v>13900</v>
      </c>
    </row>
    <row r="11">
      <c r="A11" s="3" t="s">
        <v>1055</v>
      </c>
    </row>
    <row r="13">
      <c r="A13" s="3" t="s">
        <v>59</v>
      </c>
      <c r="B13" s="3">
        <v>1.0</v>
      </c>
      <c r="C13" s="3" t="s">
        <v>1056</v>
      </c>
      <c r="D13" s="3" t="s">
        <v>60</v>
      </c>
      <c r="E13" s="3" t="s">
        <v>61</v>
      </c>
      <c r="F13" s="3">
        <v>1200.0</v>
      </c>
    </row>
    <row r="14">
      <c r="A14" s="3" t="s">
        <v>1057</v>
      </c>
      <c r="B14" s="3">
        <v>1.0</v>
      </c>
      <c r="C14" s="3" t="s">
        <v>1058</v>
      </c>
      <c r="D14" s="3" t="s">
        <v>1048</v>
      </c>
      <c r="E14" s="3" t="s">
        <v>1049</v>
      </c>
      <c r="F14" s="3">
        <v>4500.0</v>
      </c>
    </row>
    <row r="15">
      <c r="A15" s="3" t="s">
        <v>163</v>
      </c>
      <c r="B15" s="3">
        <v>2.0</v>
      </c>
      <c r="C15" s="3" t="s">
        <v>1059</v>
      </c>
      <c r="D15" s="3" t="s">
        <v>1051</v>
      </c>
      <c r="E15" s="3" t="s">
        <v>1052</v>
      </c>
      <c r="F15" s="3">
        <v>2500.0</v>
      </c>
    </row>
    <row r="16">
      <c r="A16" s="3" t="s">
        <v>154</v>
      </c>
      <c r="B16" s="3">
        <v>2.0</v>
      </c>
      <c r="C16" s="3" t="s">
        <v>1060</v>
      </c>
      <c r="D16" s="3" t="s">
        <v>155</v>
      </c>
      <c r="E16" s="3" t="s">
        <v>156</v>
      </c>
      <c r="F16" s="3">
        <v>4500.0</v>
      </c>
    </row>
    <row r="17">
      <c r="A17" s="3" t="s">
        <v>23</v>
      </c>
      <c r="B17" s="3">
        <v>1.0</v>
      </c>
      <c r="C17" s="3" t="s">
        <v>1061</v>
      </c>
      <c r="D17" s="3" t="s">
        <v>308</v>
      </c>
      <c r="E17" s="3" t="s">
        <v>26</v>
      </c>
      <c r="F17" s="3">
        <v>1200.0</v>
      </c>
    </row>
    <row r="18">
      <c r="A18" s="3" t="s">
        <v>62</v>
      </c>
      <c r="B18" s="3">
        <v>1.0</v>
      </c>
      <c r="C18" s="3" t="s">
        <v>1062</v>
      </c>
      <c r="D18" s="3" t="s">
        <v>63</v>
      </c>
      <c r="E18" s="3" t="s">
        <v>64</v>
      </c>
      <c r="F18" s="3">
        <v>2500.0</v>
      </c>
    </row>
    <row r="19">
      <c r="A19" s="3" t="s">
        <v>1054</v>
      </c>
      <c r="B19" s="859">
        <f>SUM(B13:B18)</f>
        <v>8</v>
      </c>
    </row>
    <row r="20">
      <c r="F20" s="253">
        <f>SUM(F13:F18)</f>
        <v>16400</v>
      </c>
    </row>
    <row r="21">
      <c r="A21" s="3" t="s">
        <v>1063</v>
      </c>
    </row>
    <row r="23">
      <c r="A23" s="3" t="s">
        <v>59</v>
      </c>
      <c r="B23" s="3">
        <v>1.0</v>
      </c>
      <c r="C23" s="3" t="s">
        <v>1056</v>
      </c>
      <c r="D23" s="3" t="s">
        <v>60</v>
      </c>
      <c r="E23" s="3" t="s">
        <v>61</v>
      </c>
      <c r="F23" s="3">
        <v>1200.0</v>
      </c>
    </row>
    <row r="24">
      <c r="A24" s="3" t="s">
        <v>1057</v>
      </c>
      <c r="B24" s="3">
        <v>1.0</v>
      </c>
      <c r="C24" s="3" t="s">
        <v>1058</v>
      </c>
      <c r="D24" s="3" t="s">
        <v>1048</v>
      </c>
      <c r="E24" s="3" t="s">
        <v>1049</v>
      </c>
      <c r="F24" s="3">
        <v>4500.0</v>
      </c>
    </row>
    <row r="25">
      <c r="A25" s="3" t="s">
        <v>163</v>
      </c>
      <c r="B25" s="3">
        <v>2.0</v>
      </c>
      <c r="C25" s="3" t="s">
        <v>1059</v>
      </c>
      <c r="D25" s="3" t="s">
        <v>1051</v>
      </c>
      <c r="E25" s="3" t="s">
        <v>1052</v>
      </c>
      <c r="F25" s="3">
        <v>2500.0</v>
      </c>
    </row>
    <row r="26">
      <c r="A26" s="3" t="s">
        <v>154</v>
      </c>
      <c r="B26" s="3">
        <v>2.0</v>
      </c>
      <c r="C26" s="3" t="s">
        <v>1060</v>
      </c>
      <c r="D26" s="3" t="s">
        <v>155</v>
      </c>
      <c r="E26" s="3" t="s">
        <v>156</v>
      </c>
      <c r="F26" s="3">
        <v>4500.0</v>
      </c>
    </row>
    <row r="27">
      <c r="A27" s="3" t="s">
        <v>23</v>
      </c>
      <c r="B27" s="3">
        <v>1.0</v>
      </c>
      <c r="C27" s="3" t="s">
        <v>1061</v>
      </c>
      <c r="D27" s="3" t="s">
        <v>308</v>
      </c>
      <c r="E27" s="3" t="s">
        <v>26</v>
      </c>
      <c r="F27" s="3">
        <v>1200.0</v>
      </c>
    </row>
    <row r="28">
      <c r="A28" s="3" t="s">
        <v>115</v>
      </c>
      <c r="B28" s="3">
        <v>2.0</v>
      </c>
      <c r="C28" s="3" t="s">
        <v>145</v>
      </c>
      <c r="D28" s="3" t="s">
        <v>116</v>
      </c>
      <c r="E28" s="3" t="s">
        <v>1064</v>
      </c>
      <c r="F28" s="3">
        <v>3500.0</v>
      </c>
    </row>
    <row r="29">
      <c r="A29" s="3" t="s">
        <v>1054</v>
      </c>
      <c r="B29" s="859">
        <f>SUM(B23:B28)</f>
        <v>9</v>
      </c>
      <c r="C29" s="3"/>
    </row>
    <row r="30">
      <c r="A30" s="3"/>
      <c r="F30" s="253">
        <f>SUM(F23:F28)</f>
        <v>17400</v>
      </c>
    </row>
    <row r="32">
      <c r="A32" s="3" t="s">
        <v>1065</v>
      </c>
    </row>
    <row r="34">
      <c r="A34" s="3" t="s">
        <v>59</v>
      </c>
      <c r="B34" s="3">
        <v>1.0</v>
      </c>
      <c r="C34" s="3" t="s">
        <v>1046</v>
      </c>
      <c r="D34" s="3" t="s">
        <v>60</v>
      </c>
      <c r="E34" s="3" t="s">
        <v>61</v>
      </c>
      <c r="F34" s="3">
        <v>1200.0</v>
      </c>
    </row>
    <row r="35">
      <c r="A35" s="3" t="s">
        <v>127</v>
      </c>
      <c r="B35" s="3">
        <v>1.0</v>
      </c>
      <c r="C35" s="3" t="s">
        <v>1047</v>
      </c>
      <c r="D35" s="3" t="s">
        <v>1048</v>
      </c>
      <c r="E35" s="3" t="s">
        <v>1049</v>
      </c>
      <c r="F35" s="3">
        <v>4500.0</v>
      </c>
    </row>
    <row r="36">
      <c r="A36" s="3" t="s">
        <v>163</v>
      </c>
      <c r="B36" s="3">
        <v>2.0</v>
      </c>
      <c r="C36" s="3" t="s">
        <v>1050</v>
      </c>
      <c r="D36" s="3" t="s">
        <v>1051</v>
      </c>
      <c r="E36" s="3" t="s">
        <v>1052</v>
      </c>
      <c r="F36" s="3">
        <v>2500.0</v>
      </c>
    </row>
    <row r="37">
      <c r="A37" s="3" t="s">
        <v>154</v>
      </c>
      <c r="B37" s="3">
        <v>2.0</v>
      </c>
      <c r="C37" s="3" t="s">
        <v>145</v>
      </c>
      <c r="D37" s="3" t="s">
        <v>155</v>
      </c>
      <c r="E37" s="3" t="s">
        <v>156</v>
      </c>
      <c r="F37" s="3">
        <v>4500.0</v>
      </c>
    </row>
    <row r="38">
      <c r="A38" s="3" t="s">
        <v>23</v>
      </c>
      <c r="B38" s="3">
        <v>1.0</v>
      </c>
      <c r="C38" s="3" t="s">
        <v>1053</v>
      </c>
      <c r="D38" s="3" t="s">
        <v>308</v>
      </c>
      <c r="E38" s="3" t="s">
        <v>26</v>
      </c>
      <c r="F38" s="3">
        <v>1200.0</v>
      </c>
    </row>
    <row r="39">
      <c r="A39" s="3" t="s">
        <v>115</v>
      </c>
      <c r="B39" s="3">
        <v>2.0</v>
      </c>
      <c r="C39" s="3" t="s">
        <v>145</v>
      </c>
      <c r="D39" s="3" t="s">
        <v>116</v>
      </c>
      <c r="E39" s="3" t="s">
        <v>1064</v>
      </c>
      <c r="F39" s="3">
        <v>3500.0</v>
      </c>
    </row>
    <row r="40">
      <c r="A40" s="3" t="s">
        <v>157</v>
      </c>
      <c r="B40" s="3">
        <v>1.0</v>
      </c>
      <c r="C40" s="3" t="s">
        <v>145</v>
      </c>
      <c r="D40" s="3" t="s">
        <v>158</v>
      </c>
      <c r="E40" s="3" t="s">
        <v>159</v>
      </c>
      <c r="F40" s="3">
        <v>2500.0</v>
      </c>
    </row>
    <row r="41">
      <c r="A41" s="3" t="s">
        <v>1054</v>
      </c>
      <c r="B41" s="859">
        <f>SUM(B34:B40)</f>
        <v>10</v>
      </c>
    </row>
    <row r="42">
      <c r="F42" s="253">
        <f>SUM(F34:F40)</f>
        <v>19900</v>
      </c>
    </row>
    <row r="43">
      <c r="A43" s="3" t="s">
        <v>1066</v>
      </c>
    </row>
    <row r="53">
      <c r="A53" s="3" t="s">
        <v>1067</v>
      </c>
    </row>
    <row r="63">
      <c r="A63" s="3" t="s">
        <v>1063</v>
      </c>
      <c r="B63" s="3" t="s">
        <v>1054</v>
      </c>
      <c r="C63" s="3">
        <v>9.0</v>
      </c>
    </row>
    <row r="66">
      <c r="A66" s="3" t="s">
        <v>1068</v>
      </c>
    </row>
    <row r="69">
      <c r="A69" s="3" t="s">
        <v>59</v>
      </c>
      <c r="B69" s="3">
        <v>1.0</v>
      </c>
      <c r="C69" s="3" t="s">
        <v>1056</v>
      </c>
    </row>
    <row r="70">
      <c r="A70" s="3" t="s">
        <v>1057</v>
      </c>
      <c r="B70" s="3">
        <v>1.0</v>
      </c>
      <c r="C70" s="3" t="s">
        <v>1058</v>
      </c>
    </row>
    <row r="71">
      <c r="A71" s="3" t="s">
        <v>163</v>
      </c>
      <c r="B71" s="3">
        <v>2.0</v>
      </c>
      <c r="C71" s="3" t="s">
        <v>1059</v>
      </c>
    </row>
    <row r="72">
      <c r="A72" s="3" t="s">
        <v>154</v>
      </c>
      <c r="B72" s="3">
        <v>2.0</v>
      </c>
      <c r="C72" s="3" t="s">
        <v>1060</v>
      </c>
    </row>
    <row r="73">
      <c r="A73" s="3" t="s">
        <v>23</v>
      </c>
      <c r="B73" s="3">
        <v>1.0</v>
      </c>
      <c r="C73" s="3" t="s">
        <v>1061</v>
      </c>
    </row>
    <row r="74">
      <c r="A74" s="3" t="s">
        <v>115</v>
      </c>
      <c r="B74" s="3">
        <v>2.0</v>
      </c>
      <c r="C74" s="3" t="s">
        <v>145</v>
      </c>
    </row>
    <row r="75">
      <c r="B75" s="253">
        <f>sum(B69:B74)</f>
        <v>9</v>
      </c>
    </row>
    <row r="77">
      <c r="A77" s="3" t="s">
        <v>1069</v>
      </c>
    </row>
    <row r="79">
      <c r="A79" s="3" t="s">
        <v>59</v>
      </c>
      <c r="B79" s="3">
        <v>1.0</v>
      </c>
      <c r="C79" s="3" t="s">
        <v>1056</v>
      </c>
    </row>
    <row r="80">
      <c r="A80" s="3" t="s">
        <v>1057</v>
      </c>
      <c r="B80" s="3">
        <v>1.0</v>
      </c>
      <c r="C80" s="3" t="s">
        <v>1058</v>
      </c>
    </row>
    <row r="81">
      <c r="A81" s="3" t="s">
        <v>163</v>
      </c>
      <c r="B81" s="3">
        <v>2.0</v>
      </c>
      <c r="C81" s="3" t="s">
        <v>1059</v>
      </c>
    </row>
    <row r="82">
      <c r="A82" s="3" t="s">
        <v>154</v>
      </c>
      <c r="B82" s="3">
        <v>2.0</v>
      </c>
      <c r="C82" s="3" t="s">
        <v>1060</v>
      </c>
    </row>
    <row r="83">
      <c r="A83" s="3" t="s">
        <v>23</v>
      </c>
      <c r="B83" s="3">
        <v>1.0</v>
      </c>
      <c r="C83" s="3" t="s">
        <v>1061</v>
      </c>
    </row>
    <row r="84">
      <c r="A84" s="3" t="s">
        <v>62</v>
      </c>
      <c r="B84" s="3">
        <v>1.0</v>
      </c>
      <c r="C84" s="3" t="s">
        <v>1062</v>
      </c>
    </row>
    <row r="86">
      <c r="A86" s="3" t="s">
        <v>1070</v>
      </c>
    </row>
    <row r="88">
      <c r="A88" s="3" t="s">
        <v>59</v>
      </c>
      <c r="B88" s="3">
        <v>1.0</v>
      </c>
      <c r="C88" s="3" t="s">
        <v>1046</v>
      </c>
    </row>
    <row r="89">
      <c r="A89" s="3" t="s">
        <v>127</v>
      </c>
      <c r="B89" s="3">
        <v>1.0</v>
      </c>
      <c r="C89" s="3" t="s">
        <v>1047</v>
      </c>
    </row>
    <row r="90">
      <c r="A90" s="3" t="s">
        <v>163</v>
      </c>
      <c r="B90" s="3">
        <v>2.0</v>
      </c>
      <c r="C90" s="3" t="s">
        <v>1050</v>
      </c>
    </row>
    <row r="91">
      <c r="A91" s="3" t="s">
        <v>154</v>
      </c>
      <c r="B91" s="3">
        <v>2.0</v>
      </c>
      <c r="C91" s="3" t="s">
        <v>145</v>
      </c>
    </row>
    <row r="92">
      <c r="A92" s="3" t="s">
        <v>23</v>
      </c>
      <c r="B92" s="3">
        <v>1.0</v>
      </c>
      <c r="C92" s="3" t="s">
        <v>1053</v>
      </c>
    </row>
    <row r="93">
      <c r="G93" s="3" t="s">
        <v>1071</v>
      </c>
      <c r="H93" s="3" t="s">
        <v>1054</v>
      </c>
    </row>
    <row r="94">
      <c r="G94" s="3" t="s">
        <v>1072</v>
      </c>
      <c r="H94" s="3">
        <v>10.0</v>
      </c>
    </row>
    <row r="95">
      <c r="G95" s="3" t="s">
        <v>1072</v>
      </c>
      <c r="H95" s="3">
        <v>10.0</v>
      </c>
    </row>
    <row r="96">
      <c r="G96" s="3" t="s">
        <v>1072</v>
      </c>
      <c r="H96" s="3">
        <v>10.0</v>
      </c>
    </row>
    <row r="97">
      <c r="G97" s="3" t="s">
        <v>1072</v>
      </c>
      <c r="H97" s="3">
        <v>15.0</v>
      </c>
    </row>
    <row r="98">
      <c r="G98" s="3" t="s">
        <v>1072</v>
      </c>
      <c r="H98" s="3">
        <v>15.0</v>
      </c>
    </row>
    <row r="99">
      <c r="G99" s="3" t="s">
        <v>1072</v>
      </c>
      <c r="H99" s="3">
        <v>15.0</v>
      </c>
    </row>
    <row r="100">
      <c r="G100" s="3" t="s">
        <v>1072</v>
      </c>
      <c r="H100" s="3">
        <v>15.0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23.13"/>
    <col customWidth="1" min="3" max="3" width="4.88"/>
    <col customWidth="1" min="4" max="4" width="27.63"/>
    <col customWidth="1" min="5" max="5" width="82.13"/>
    <col customWidth="1" min="6" max="6" width="76.0"/>
  </cols>
  <sheetData>
    <row r="1">
      <c r="A1" s="3" t="s">
        <v>1073</v>
      </c>
      <c r="B1" s="3" t="s">
        <v>267</v>
      </c>
      <c r="C1" s="3" t="s">
        <v>1</v>
      </c>
      <c r="D1" s="3" t="s">
        <v>2</v>
      </c>
    </row>
    <row r="2">
      <c r="A2" s="3" t="s">
        <v>1074</v>
      </c>
      <c r="B2" s="3" t="s">
        <v>95</v>
      </c>
      <c r="C2" s="860" t="s">
        <v>1075</v>
      </c>
      <c r="D2" s="3" t="s">
        <v>66</v>
      </c>
    </row>
    <row r="3">
      <c r="A3" s="3" t="s">
        <v>1074</v>
      </c>
      <c r="B3" s="3" t="s">
        <v>186</v>
      </c>
      <c r="C3" s="860" t="s">
        <v>1075</v>
      </c>
      <c r="D3" s="3" t="s">
        <v>187</v>
      </c>
    </row>
    <row r="4">
      <c r="A4" s="3" t="s">
        <v>1074</v>
      </c>
      <c r="B4" s="3" t="s">
        <v>112</v>
      </c>
      <c r="C4" s="860" t="s">
        <v>1075</v>
      </c>
      <c r="D4" s="3" t="s">
        <v>106</v>
      </c>
    </row>
    <row r="5">
      <c r="A5" s="3" t="s">
        <v>1074</v>
      </c>
      <c r="B5" s="3" t="s">
        <v>118</v>
      </c>
      <c r="C5" s="860" t="s">
        <v>1075</v>
      </c>
      <c r="D5" s="3" t="s">
        <v>106</v>
      </c>
    </row>
    <row r="6">
      <c r="A6" s="3" t="s">
        <v>1074</v>
      </c>
      <c r="B6" s="3" t="s">
        <v>121</v>
      </c>
      <c r="C6" s="860" t="s">
        <v>1075</v>
      </c>
      <c r="D6" s="3" t="s">
        <v>106</v>
      </c>
    </row>
    <row r="7">
      <c r="A7" s="3" t="s">
        <v>1074</v>
      </c>
      <c r="B7" s="3" t="s">
        <v>124</v>
      </c>
      <c r="C7" s="860" t="s">
        <v>1075</v>
      </c>
      <c r="D7" s="3" t="s">
        <v>106</v>
      </c>
    </row>
    <row r="8">
      <c r="A8" s="3" t="s">
        <v>1076</v>
      </c>
      <c r="B8" s="3" t="s">
        <v>95</v>
      </c>
      <c r="C8" s="860" t="s">
        <v>1075</v>
      </c>
      <c r="D8" s="3" t="s">
        <v>66</v>
      </c>
    </row>
    <row r="9">
      <c r="A9" s="3" t="s">
        <v>1076</v>
      </c>
      <c r="B9" s="3" t="s">
        <v>186</v>
      </c>
      <c r="C9" s="860" t="s">
        <v>1075</v>
      </c>
      <c r="D9" s="3" t="s">
        <v>187</v>
      </c>
    </row>
    <row r="10">
      <c r="A10" s="3" t="s">
        <v>1076</v>
      </c>
      <c r="B10" s="3" t="s">
        <v>112</v>
      </c>
      <c r="C10" s="860" t="s">
        <v>1075</v>
      </c>
      <c r="D10" s="3" t="s">
        <v>106</v>
      </c>
    </row>
    <row r="11">
      <c r="A11" s="3" t="s">
        <v>1076</v>
      </c>
      <c r="B11" s="3" t="s">
        <v>118</v>
      </c>
      <c r="C11" s="860" t="s">
        <v>1075</v>
      </c>
      <c r="D11" s="3" t="s">
        <v>106</v>
      </c>
    </row>
    <row r="12">
      <c r="A12" s="3" t="s">
        <v>1076</v>
      </c>
      <c r="B12" s="3" t="s">
        <v>121</v>
      </c>
      <c r="C12" s="860" t="s">
        <v>1075</v>
      </c>
      <c r="D12" s="3" t="s">
        <v>106</v>
      </c>
    </row>
    <row r="13">
      <c r="A13" s="3" t="s">
        <v>1076</v>
      </c>
      <c r="B13" s="3" t="s">
        <v>124</v>
      </c>
      <c r="C13" s="860" t="s">
        <v>1075</v>
      </c>
      <c r="D13" s="3" t="s">
        <v>106</v>
      </c>
    </row>
    <row r="14">
      <c r="A14" s="3" t="s">
        <v>1076</v>
      </c>
      <c r="B14" s="3" t="s">
        <v>127</v>
      </c>
      <c r="C14" s="860" t="s">
        <v>1075</v>
      </c>
      <c r="D14" s="3" t="s">
        <v>106</v>
      </c>
    </row>
    <row r="15">
      <c r="A15" s="3" t="s">
        <v>1076</v>
      </c>
      <c r="B15" s="3" t="s">
        <v>132</v>
      </c>
      <c r="C15" s="860" t="s">
        <v>1075</v>
      </c>
      <c r="D15" s="3" t="s">
        <v>106</v>
      </c>
    </row>
    <row r="16">
      <c r="A16" s="3" t="s">
        <v>1076</v>
      </c>
      <c r="B16" s="3" t="s">
        <v>135</v>
      </c>
      <c r="C16" s="860" t="s">
        <v>1075</v>
      </c>
      <c r="D16" s="3" t="s">
        <v>106</v>
      </c>
    </row>
    <row r="17">
      <c r="A17" s="3" t="s">
        <v>1076</v>
      </c>
      <c r="B17" s="3" t="s">
        <v>138</v>
      </c>
      <c r="C17" s="860" t="s">
        <v>1075</v>
      </c>
      <c r="D17" s="3" t="s">
        <v>106</v>
      </c>
    </row>
    <row r="18">
      <c r="A18" s="3" t="s">
        <v>1077</v>
      </c>
      <c r="B18" s="3" t="s">
        <v>95</v>
      </c>
      <c r="C18" s="860" t="s">
        <v>1075</v>
      </c>
      <c r="D18" s="3" t="s">
        <v>66</v>
      </c>
    </row>
    <row r="19">
      <c r="A19" s="3" t="s">
        <v>1077</v>
      </c>
      <c r="B19" s="3" t="s">
        <v>186</v>
      </c>
      <c r="C19" s="860" t="s">
        <v>1075</v>
      </c>
      <c r="D19" s="3" t="s">
        <v>187</v>
      </c>
    </row>
    <row r="20">
      <c r="A20" s="3" t="s">
        <v>1077</v>
      </c>
      <c r="B20" s="3" t="s">
        <v>112</v>
      </c>
      <c r="C20" s="860" t="s">
        <v>1075</v>
      </c>
      <c r="D20" s="3" t="s">
        <v>106</v>
      </c>
    </row>
    <row r="21">
      <c r="A21" s="3" t="s">
        <v>1077</v>
      </c>
      <c r="B21" s="3" t="s">
        <v>118</v>
      </c>
      <c r="C21" s="860" t="s">
        <v>1075</v>
      </c>
      <c r="D21" s="3" t="s">
        <v>106</v>
      </c>
    </row>
    <row r="22">
      <c r="A22" s="3" t="s">
        <v>1077</v>
      </c>
      <c r="B22" s="3" t="s">
        <v>121</v>
      </c>
      <c r="C22" s="860" t="s">
        <v>1075</v>
      </c>
      <c r="D22" s="3" t="s">
        <v>106</v>
      </c>
    </row>
    <row r="23">
      <c r="A23" s="3" t="s">
        <v>1077</v>
      </c>
      <c r="B23" s="3" t="s">
        <v>124</v>
      </c>
      <c r="C23" s="860" t="s">
        <v>1075</v>
      </c>
      <c r="D23" s="3" t="s">
        <v>106</v>
      </c>
    </row>
    <row r="24">
      <c r="A24" s="3" t="s">
        <v>1077</v>
      </c>
      <c r="B24" s="3" t="s">
        <v>127</v>
      </c>
      <c r="C24" s="860" t="s">
        <v>1075</v>
      </c>
      <c r="D24" s="3" t="s">
        <v>106</v>
      </c>
    </row>
    <row r="25">
      <c r="A25" s="3" t="s">
        <v>1077</v>
      </c>
      <c r="B25" s="3" t="s">
        <v>132</v>
      </c>
      <c r="C25" s="860" t="s">
        <v>1075</v>
      </c>
      <c r="D25" s="3" t="s">
        <v>106</v>
      </c>
    </row>
    <row r="26">
      <c r="A26" s="3" t="s">
        <v>1077</v>
      </c>
      <c r="B26" s="3" t="s">
        <v>135</v>
      </c>
      <c r="C26" s="860" t="s">
        <v>1075</v>
      </c>
      <c r="D26" s="3" t="s">
        <v>106</v>
      </c>
    </row>
    <row r="27">
      <c r="A27" s="3" t="s">
        <v>1077</v>
      </c>
      <c r="B27" s="3" t="s">
        <v>138</v>
      </c>
      <c r="C27" s="860" t="s">
        <v>1075</v>
      </c>
      <c r="D27" s="3" t="s">
        <v>106</v>
      </c>
    </row>
    <row r="28">
      <c r="A28" s="3" t="s">
        <v>1077</v>
      </c>
      <c r="B28" s="3" t="s">
        <v>141</v>
      </c>
      <c r="C28" s="860" t="s">
        <v>1075</v>
      </c>
      <c r="D28" s="3" t="s">
        <v>106</v>
      </c>
    </row>
    <row r="29">
      <c r="A29" s="3" t="s">
        <v>1077</v>
      </c>
      <c r="B29" s="3" t="s">
        <v>160</v>
      </c>
      <c r="C29" s="860" t="s">
        <v>1075</v>
      </c>
      <c r="D29" s="3" t="s">
        <v>145</v>
      </c>
    </row>
    <row r="30">
      <c r="A30" s="3" t="s">
        <v>1077</v>
      </c>
      <c r="B30" s="3" t="s">
        <v>170</v>
      </c>
      <c r="C30" s="860" t="s">
        <v>1075</v>
      </c>
      <c r="D30" s="3" t="s">
        <v>164</v>
      </c>
    </row>
    <row r="31">
      <c r="A31" s="3" t="s">
        <v>1077</v>
      </c>
      <c r="B31" s="3" t="s">
        <v>27</v>
      </c>
      <c r="C31" s="860" t="s">
        <v>1075</v>
      </c>
      <c r="D31" s="3" t="s">
        <v>24</v>
      </c>
    </row>
    <row r="32">
      <c r="A32" s="3" t="s">
        <v>1077</v>
      </c>
      <c r="B32" s="3" t="s">
        <v>34</v>
      </c>
      <c r="C32" s="860" t="s">
        <v>1075</v>
      </c>
      <c r="D32" s="3" t="s">
        <v>31</v>
      </c>
    </row>
    <row r="33">
      <c r="A33" s="3" t="s">
        <v>1078</v>
      </c>
      <c r="B33" s="3" t="s">
        <v>95</v>
      </c>
      <c r="C33" s="860" t="s">
        <v>1075</v>
      </c>
      <c r="D33" s="3" t="s">
        <v>66</v>
      </c>
    </row>
    <row r="34">
      <c r="A34" s="3" t="s">
        <v>1078</v>
      </c>
      <c r="B34" s="3" t="s">
        <v>186</v>
      </c>
      <c r="C34" s="860" t="s">
        <v>1075</v>
      </c>
      <c r="D34" s="3" t="s">
        <v>187</v>
      </c>
    </row>
    <row r="35">
      <c r="A35" s="3" t="s">
        <v>1078</v>
      </c>
      <c r="B35" s="3" t="s">
        <v>112</v>
      </c>
      <c r="C35" s="860" t="s">
        <v>1075</v>
      </c>
      <c r="D35" s="3" t="s">
        <v>106</v>
      </c>
    </row>
    <row r="36">
      <c r="A36" s="3" t="s">
        <v>1078</v>
      </c>
      <c r="B36" s="3" t="s">
        <v>118</v>
      </c>
      <c r="C36" s="860" t="s">
        <v>1075</v>
      </c>
      <c r="D36" s="3" t="s">
        <v>106</v>
      </c>
    </row>
    <row r="37">
      <c r="A37" s="3" t="s">
        <v>1078</v>
      </c>
      <c r="B37" s="3" t="s">
        <v>121</v>
      </c>
      <c r="C37" s="860" t="s">
        <v>1075</v>
      </c>
      <c r="D37" s="3" t="s">
        <v>106</v>
      </c>
    </row>
    <row r="38">
      <c r="A38" s="3" t="s">
        <v>1078</v>
      </c>
      <c r="B38" s="3" t="s">
        <v>124</v>
      </c>
      <c r="C38" s="860" t="s">
        <v>1075</v>
      </c>
      <c r="D38" s="3" t="s">
        <v>106</v>
      </c>
    </row>
    <row r="39">
      <c r="A39" s="3" t="s">
        <v>1079</v>
      </c>
      <c r="B39" s="3" t="s">
        <v>95</v>
      </c>
      <c r="C39" s="860" t="s">
        <v>1075</v>
      </c>
      <c r="D39" s="3" t="s">
        <v>66</v>
      </c>
    </row>
    <row r="40">
      <c r="A40" s="3" t="s">
        <v>1079</v>
      </c>
      <c r="B40" s="3" t="s">
        <v>186</v>
      </c>
      <c r="C40" s="860" t="s">
        <v>1075</v>
      </c>
      <c r="D40" s="3" t="s">
        <v>187</v>
      </c>
    </row>
    <row r="41">
      <c r="A41" s="3" t="s">
        <v>1079</v>
      </c>
      <c r="B41" s="3" t="s">
        <v>112</v>
      </c>
      <c r="C41" s="860" t="s">
        <v>1075</v>
      </c>
      <c r="D41" s="3" t="s">
        <v>106</v>
      </c>
    </row>
    <row r="42">
      <c r="A42" s="3" t="s">
        <v>1079</v>
      </c>
      <c r="B42" s="3" t="s">
        <v>118</v>
      </c>
      <c r="C42" s="860" t="s">
        <v>1075</v>
      </c>
      <c r="D42" s="3" t="s">
        <v>106</v>
      </c>
    </row>
    <row r="43">
      <c r="A43" s="3" t="s">
        <v>1079</v>
      </c>
      <c r="B43" s="3" t="s">
        <v>121</v>
      </c>
      <c r="C43" s="860" t="s">
        <v>1075</v>
      </c>
      <c r="D43" s="3" t="s">
        <v>106</v>
      </c>
    </row>
    <row r="44">
      <c r="A44" s="3" t="s">
        <v>1079</v>
      </c>
      <c r="B44" s="3" t="s">
        <v>124</v>
      </c>
      <c r="C44" s="860" t="s">
        <v>1075</v>
      </c>
      <c r="D44" s="3" t="s">
        <v>106</v>
      </c>
    </row>
    <row r="45">
      <c r="A45" s="3" t="s">
        <v>1079</v>
      </c>
      <c r="B45" s="3" t="s">
        <v>127</v>
      </c>
      <c r="C45" s="860" t="s">
        <v>1075</v>
      </c>
      <c r="D45" s="3" t="s">
        <v>106</v>
      </c>
    </row>
    <row r="46">
      <c r="A46" s="3" t="s">
        <v>1079</v>
      </c>
      <c r="B46" s="3" t="s">
        <v>132</v>
      </c>
      <c r="C46" s="860" t="s">
        <v>1075</v>
      </c>
      <c r="D46" s="3" t="s">
        <v>106</v>
      </c>
    </row>
    <row r="47">
      <c r="A47" s="3" t="s">
        <v>1079</v>
      </c>
      <c r="B47" s="3" t="s">
        <v>135</v>
      </c>
      <c r="C47" s="860" t="s">
        <v>1075</v>
      </c>
      <c r="D47" s="3" t="s">
        <v>106</v>
      </c>
    </row>
    <row r="48">
      <c r="A48" s="3" t="s">
        <v>1079</v>
      </c>
      <c r="B48" s="3" t="s">
        <v>138</v>
      </c>
      <c r="C48" s="860" t="s">
        <v>1075</v>
      </c>
      <c r="D48" s="3" t="s">
        <v>106</v>
      </c>
    </row>
    <row r="49">
      <c r="A49" s="3" t="s">
        <v>1080</v>
      </c>
      <c r="B49" s="3" t="s">
        <v>95</v>
      </c>
      <c r="C49" s="860" t="s">
        <v>1075</v>
      </c>
      <c r="D49" s="3" t="s">
        <v>66</v>
      </c>
    </row>
    <row r="50">
      <c r="A50" s="3" t="s">
        <v>1080</v>
      </c>
      <c r="B50" s="3" t="s">
        <v>186</v>
      </c>
      <c r="C50" s="860" t="s">
        <v>1075</v>
      </c>
      <c r="D50" s="3" t="s">
        <v>187</v>
      </c>
    </row>
    <row r="51">
      <c r="A51" s="3" t="s">
        <v>1080</v>
      </c>
      <c r="B51" s="3" t="s">
        <v>112</v>
      </c>
      <c r="C51" s="860" t="s">
        <v>1075</v>
      </c>
      <c r="D51" s="3" t="s">
        <v>106</v>
      </c>
    </row>
    <row r="52">
      <c r="A52" s="3" t="s">
        <v>1080</v>
      </c>
      <c r="B52" s="3" t="s">
        <v>118</v>
      </c>
      <c r="C52" s="860" t="s">
        <v>1075</v>
      </c>
      <c r="D52" s="3" t="s">
        <v>106</v>
      </c>
    </row>
    <row r="53">
      <c r="A53" s="3" t="s">
        <v>1080</v>
      </c>
      <c r="B53" s="3" t="s">
        <v>121</v>
      </c>
      <c r="C53" s="860" t="s">
        <v>1075</v>
      </c>
      <c r="D53" s="3" t="s">
        <v>106</v>
      </c>
    </row>
    <row r="54">
      <c r="A54" s="3" t="s">
        <v>1080</v>
      </c>
      <c r="B54" s="3" t="s">
        <v>124</v>
      </c>
      <c r="C54" s="860" t="s">
        <v>1075</v>
      </c>
      <c r="D54" s="3" t="s">
        <v>106</v>
      </c>
    </row>
    <row r="55">
      <c r="A55" s="3" t="s">
        <v>1080</v>
      </c>
      <c r="B55" s="3" t="s">
        <v>127</v>
      </c>
      <c r="C55" s="860" t="s">
        <v>1075</v>
      </c>
      <c r="D55" s="3" t="s">
        <v>106</v>
      </c>
    </row>
    <row r="56">
      <c r="A56" s="3" t="s">
        <v>1080</v>
      </c>
      <c r="B56" s="3" t="s">
        <v>132</v>
      </c>
      <c r="C56" s="860" t="s">
        <v>1075</v>
      </c>
      <c r="D56" s="3" t="s">
        <v>106</v>
      </c>
    </row>
    <row r="57">
      <c r="A57" s="3" t="s">
        <v>1080</v>
      </c>
      <c r="B57" s="3" t="s">
        <v>135</v>
      </c>
      <c r="C57" s="860" t="s">
        <v>1075</v>
      </c>
      <c r="D57" s="3" t="s">
        <v>106</v>
      </c>
    </row>
    <row r="58">
      <c r="A58" s="3" t="s">
        <v>1080</v>
      </c>
      <c r="B58" s="3" t="s">
        <v>138</v>
      </c>
      <c r="C58" s="860" t="s">
        <v>1075</v>
      </c>
      <c r="D58" s="3" t="s">
        <v>106</v>
      </c>
    </row>
    <row r="59">
      <c r="A59" s="3" t="s">
        <v>1080</v>
      </c>
      <c r="B59" s="3" t="s">
        <v>141</v>
      </c>
      <c r="C59" s="860" t="s">
        <v>1075</v>
      </c>
      <c r="D59" s="3" t="s">
        <v>106</v>
      </c>
    </row>
    <row r="60">
      <c r="A60" s="3" t="s">
        <v>1080</v>
      </c>
      <c r="B60" s="3" t="s">
        <v>160</v>
      </c>
      <c r="C60" s="860" t="s">
        <v>1075</v>
      </c>
      <c r="D60" s="3" t="s">
        <v>145</v>
      </c>
    </row>
    <row r="61">
      <c r="A61" s="3" t="s">
        <v>1080</v>
      </c>
      <c r="B61" s="3" t="s">
        <v>170</v>
      </c>
      <c r="C61" s="860" t="s">
        <v>1075</v>
      </c>
      <c r="D61" s="3" t="s">
        <v>164</v>
      </c>
    </row>
    <row r="62">
      <c r="A62" s="3" t="s">
        <v>1080</v>
      </c>
      <c r="B62" s="3" t="s">
        <v>27</v>
      </c>
      <c r="C62" s="860" t="s">
        <v>1075</v>
      </c>
      <c r="D62" s="3" t="s">
        <v>24</v>
      </c>
    </row>
    <row r="63">
      <c r="A63" s="3" t="s">
        <v>1080</v>
      </c>
      <c r="B63" s="3" t="s">
        <v>34</v>
      </c>
      <c r="C63" s="860" t="s">
        <v>1075</v>
      </c>
      <c r="D63" s="3" t="s">
        <v>31</v>
      </c>
    </row>
    <row r="64">
      <c r="A64" s="3" t="s">
        <v>1081</v>
      </c>
      <c r="B64" s="3" t="s">
        <v>95</v>
      </c>
      <c r="C64" s="860" t="s">
        <v>1075</v>
      </c>
      <c r="D64" s="3" t="s">
        <v>66</v>
      </c>
    </row>
    <row r="65">
      <c r="A65" s="3" t="s">
        <v>1081</v>
      </c>
      <c r="B65" s="3" t="s">
        <v>186</v>
      </c>
      <c r="C65" s="860" t="s">
        <v>1075</v>
      </c>
      <c r="D65" s="3" t="s">
        <v>187</v>
      </c>
    </row>
    <row r="66">
      <c r="A66" s="3" t="s">
        <v>1081</v>
      </c>
      <c r="B66" s="3" t="s">
        <v>112</v>
      </c>
      <c r="C66" s="860" t="s">
        <v>1075</v>
      </c>
      <c r="D66" s="3" t="s">
        <v>106</v>
      </c>
    </row>
    <row r="67">
      <c r="A67" s="3" t="s">
        <v>1081</v>
      </c>
      <c r="B67" s="3" t="s">
        <v>118</v>
      </c>
      <c r="C67" s="860" t="s">
        <v>1075</v>
      </c>
      <c r="D67" s="3" t="s">
        <v>106</v>
      </c>
    </row>
    <row r="68">
      <c r="A68" s="3" t="s">
        <v>1081</v>
      </c>
      <c r="B68" s="3" t="s">
        <v>121</v>
      </c>
      <c r="C68" s="860" t="s">
        <v>1075</v>
      </c>
      <c r="D68" s="3" t="s">
        <v>106</v>
      </c>
    </row>
    <row r="69">
      <c r="A69" s="3" t="s">
        <v>1081</v>
      </c>
      <c r="B69" s="3" t="s">
        <v>124</v>
      </c>
      <c r="C69" s="860" t="s">
        <v>1075</v>
      </c>
      <c r="D69" s="3" t="s">
        <v>106</v>
      </c>
    </row>
    <row r="70">
      <c r="A70" s="3" t="s">
        <v>1082</v>
      </c>
      <c r="B70" s="3" t="s">
        <v>95</v>
      </c>
      <c r="C70" s="860" t="s">
        <v>1075</v>
      </c>
      <c r="D70" s="3" t="s">
        <v>66</v>
      </c>
    </row>
    <row r="71">
      <c r="A71" s="3" t="s">
        <v>1082</v>
      </c>
      <c r="B71" s="3" t="s">
        <v>186</v>
      </c>
      <c r="C71" s="860" t="s">
        <v>1075</v>
      </c>
      <c r="D71" s="3" t="s">
        <v>187</v>
      </c>
    </row>
    <row r="72">
      <c r="A72" s="3" t="s">
        <v>1082</v>
      </c>
      <c r="B72" s="3" t="s">
        <v>112</v>
      </c>
      <c r="C72" s="860" t="s">
        <v>1075</v>
      </c>
      <c r="D72" s="3" t="s">
        <v>106</v>
      </c>
    </row>
    <row r="73">
      <c r="A73" s="3" t="s">
        <v>1082</v>
      </c>
      <c r="B73" s="3" t="s">
        <v>118</v>
      </c>
      <c r="C73" s="860" t="s">
        <v>1075</v>
      </c>
      <c r="D73" s="3" t="s">
        <v>106</v>
      </c>
    </row>
    <row r="74">
      <c r="A74" s="3" t="s">
        <v>1082</v>
      </c>
      <c r="B74" s="3" t="s">
        <v>121</v>
      </c>
      <c r="C74" s="860" t="s">
        <v>1075</v>
      </c>
      <c r="D74" s="3" t="s">
        <v>106</v>
      </c>
    </row>
    <row r="75">
      <c r="A75" s="3" t="s">
        <v>1082</v>
      </c>
      <c r="B75" s="3" t="s">
        <v>124</v>
      </c>
      <c r="C75" s="860" t="s">
        <v>1075</v>
      </c>
      <c r="D75" s="3" t="s">
        <v>106</v>
      </c>
    </row>
    <row r="76">
      <c r="A76" s="3" t="s">
        <v>1082</v>
      </c>
      <c r="B76" s="3" t="s">
        <v>127</v>
      </c>
      <c r="C76" s="860" t="s">
        <v>1075</v>
      </c>
      <c r="D76" s="3" t="s">
        <v>106</v>
      </c>
    </row>
    <row r="77">
      <c r="A77" s="3" t="s">
        <v>1082</v>
      </c>
      <c r="B77" s="3" t="s">
        <v>132</v>
      </c>
      <c r="C77" s="860" t="s">
        <v>1075</v>
      </c>
      <c r="D77" s="3" t="s">
        <v>106</v>
      </c>
    </row>
    <row r="78">
      <c r="A78" s="3" t="s">
        <v>1082</v>
      </c>
      <c r="B78" s="3" t="s">
        <v>135</v>
      </c>
      <c r="C78" s="860" t="s">
        <v>1075</v>
      </c>
      <c r="D78" s="3" t="s">
        <v>106</v>
      </c>
    </row>
    <row r="79">
      <c r="A79" s="3" t="s">
        <v>1082</v>
      </c>
      <c r="B79" s="3" t="s">
        <v>138</v>
      </c>
      <c r="C79" s="860" t="s">
        <v>1075</v>
      </c>
      <c r="D79" s="3" t="s">
        <v>106</v>
      </c>
    </row>
    <row r="80">
      <c r="A80" s="3" t="s">
        <v>1083</v>
      </c>
      <c r="B80" s="3" t="s">
        <v>95</v>
      </c>
      <c r="C80" s="860" t="s">
        <v>1075</v>
      </c>
      <c r="D80" s="3" t="s">
        <v>66</v>
      </c>
    </row>
    <row r="81">
      <c r="A81" s="3" t="s">
        <v>1083</v>
      </c>
      <c r="B81" s="3" t="s">
        <v>186</v>
      </c>
      <c r="C81" s="860" t="s">
        <v>1075</v>
      </c>
      <c r="D81" s="3" t="s">
        <v>187</v>
      </c>
    </row>
    <row r="82">
      <c r="A82" s="3" t="s">
        <v>1083</v>
      </c>
      <c r="B82" s="3" t="s">
        <v>112</v>
      </c>
      <c r="C82" s="860" t="s">
        <v>1075</v>
      </c>
      <c r="D82" s="3" t="s">
        <v>106</v>
      </c>
    </row>
    <row r="83">
      <c r="A83" s="3" t="s">
        <v>1083</v>
      </c>
      <c r="B83" s="3" t="s">
        <v>118</v>
      </c>
      <c r="C83" s="860" t="s">
        <v>1075</v>
      </c>
      <c r="D83" s="3" t="s">
        <v>106</v>
      </c>
    </row>
    <row r="84">
      <c r="A84" s="3" t="s">
        <v>1083</v>
      </c>
      <c r="B84" s="3" t="s">
        <v>121</v>
      </c>
      <c r="C84" s="860" t="s">
        <v>1075</v>
      </c>
      <c r="D84" s="3" t="s">
        <v>106</v>
      </c>
    </row>
    <row r="85">
      <c r="A85" s="3" t="s">
        <v>1083</v>
      </c>
      <c r="B85" s="3" t="s">
        <v>124</v>
      </c>
      <c r="C85" s="860" t="s">
        <v>1075</v>
      </c>
      <c r="D85" s="3" t="s">
        <v>106</v>
      </c>
    </row>
    <row r="86">
      <c r="A86" s="3" t="s">
        <v>1083</v>
      </c>
      <c r="B86" s="3" t="s">
        <v>127</v>
      </c>
      <c r="C86" s="860" t="s">
        <v>1075</v>
      </c>
      <c r="D86" s="3" t="s">
        <v>106</v>
      </c>
    </row>
    <row r="87">
      <c r="A87" s="3" t="s">
        <v>1083</v>
      </c>
      <c r="B87" s="3" t="s">
        <v>132</v>
      </c>
      <c r="C87" s="860" t="s">
        <v>1075</v>
      </c>
      <c r="D87" s="3" t="s">
        <v>106</v>
      </c>
    </row>
    <row r="88">
      <c r="A88" s="3" t="s">
        <v>1083</v>
      </c>
      <c r="B88" s="3" t="s">
        <v>135</v>
      </c>
      <c r="C88" s="860" t="s">
        <v>1075</v>
      </c>
      <c r="D88" s="3" t="s">
        <v>106</v>
      </c>
    </row>
    <row r="89">
      <c r="A89" s="3" t="s">
        <v>1083</v>
      </c>
      <c r="B89" s="3" t="s">
        <v>138</v>
      </c>
      <c r="C89" s="860" t="s">
        <v>1075</v>
      </c>
      <c r="D89" s="3" t="s">
        <v>106</v>
      </c>
    </row>
    <row r="90">
      <c r="A90" s="3" t="s">
        <v>1083</v>
      </c>
      <c r="B90" s="3" t="s">
        <v>141</v>
      </c>
      <c r="C90" s="860" t="s">
        <v>1075</v>
      </c>
      <c r="D90" s="3" t="s">
        <v>106</v>
      </c>
    </row>
    <row r="91">
      <c r="A91" s="3" t="s">
        <v>1083</v>
      </c>
      <c r="B91" s="3" t="s">
        <v>160</v>
      </c>
      <c r="C91" s="860" t="s">
        <v>1075</v>
      </c>
      <c r="D91" s="3" t="s">
        <v>145</v>
      </c>
    </row>
    <row r="92">
      <c r="A92" s="3" t="s">
        <v>1083</v>
      </c>
      <c r="B92" s="3" t="s">
        <v>170</v>
      </c>
      <c r="C92" s="860" t="s">
        <v>1075</v>
      </c>
      <c r="D92" s="3" t="s">
        <v>164</v>
      </c>
    </row>
    <row r="93">
      <c r="A93" s="3" t="s">
        <v>1083</v>
      </c>
      <c r="B93" s="3" t="s">
        <v>27</v>
      </c>
      <c r="C93" s="860" t="s">
        <v>1075</v>
      </c>
      <c r="D93" s="3" t="s">
        <v>24</v>
      </c>
    </row>
    <row r="94">
      <c r="A94" s="3" t="s">
        <v>1083</v>
      </c>
      <c r="B94" s="3" t="s">
        <v>34</v>
      </c>
      <c r="C94" s="860" t="s">
        <v>1075</v>
      </c>
      <c r="D94" s="3" t="s">
        <v>31</v>
      </c>
    </row>
    <row r="95">
      <c r="A95" s="3" t="s">
        <v>1084</v>
      </c>
      <c r="B95" s="3" t="s">
        <v>95</v>
      </c>
      <c r="C95" s="860" t="s">
        <v>1075</v>
      </c>
      <c r="D95" s="3" t="s">
        <v>66</v>
      </c>
    </row>
    <row r="96">
      <c r="A96" s="3" t="s">
        <v>1084</v>
      </c>
      <c r="B96" s="3" t="s">
        <v>186</v>
      </c>
      <c r="C96" s="860" t="s">
        <v>1075</v>
      </c>
      <c r="D96" s="3" t="s">
        <v>187</v>
      </c>
    </row>
    <row r="97">
      <c r="A97" s="3" t="s">
        <v>1084</v>
      </c>
      <c r="B97" s="3" t="s">
        <v>112</v>
      </c>
      <c r="C97" s="860" t="s">
        <v>1075</v>
      </c>
      <c r="D97" s="3" t="s">
        <v>106</v>
      </c>
    </row>
    <row r="98">
      <c r="A98" s="3" t="s">
        <v>1084</v>
      </c>
      <c r="B98" s="3" t="s">
        <v>118</v>
      </c>
      <c r="C98" s="860" t="s">
        <v>1075</v>
      </c>
      <c r="D98" s="3" t="s">
        <v>106</v>
      </c>
    </row>
    <row r="99">
      <c r="A99" s="3" t="s">
        <v>1084</v>
      </c>
      <c r="B99" s="3" t="s">
        <v>121</v>
      </c>
      <c r="C99" s="860" t="s">
        <v>1075</v>
      </c>
      <c r="D99" s="3" t="s">
        <v>106</v>
      </c>
    </row>
    <row r="100">
      <c r="A100" s="3" t="s">
        <v>1084</v>
      </c>
      <c r="B100" s="3" t="s">
        <v>124</v>
      </c>
      <c r="C100" s="860" t="s">
        <v>1075</v>
      </c>
      <c r="D100" s="3" t="s">
        <v>106</v>
      </c>
    </row>
    <row r="101">
      <c r="A101" s="3" t="s">
        <v>1085</v>
      </c>
      <c r="B101" s="3" t="s">
        <v>95</v>
      </c>
      <c r="C101" s="860" t="s">
        <v>1075</v>
      </c>
      <c r="D101" s="3" t="s">
        <v>66</v>
      </c>
    </row>
    <row r="102">
      <c r="A102" s="3" t="s">
        <v>1085</v>
      </c>
      <c r="B102" s="3" t="s">
        <v>186</v>
      </c>
      <c r="C102" s="860" t="s">
        <v>1075</v>
      </c>
      <c r="D102" s="3" t="s">
        <v>187</v>
      </c>
    </row>
    <row r="103">
      <c r="A103" s="3" t="s">
        <v>1085</v>
      </c>
      <c r="B103" s="3" t="s">
        <v>112</v>
      </c>
      <c r="C103" s="860" t="s">
        <v>1075</v>
      </c>
      <c r="D103" s="3" t="s">
        <v>106</v>
      </c>
    </row>
    <row r="104">
      <c r="A104" s="3" t="s">
        <v>1085</v>
      </c>
      <c r="B104" s="3" t="s">
        <v>118</v>
      </c>
      <c r="C104" s="860" t="s">
        <v>1075</v>
      </c>
      <c r="D104" s="3" t="s">
        <v>106</v>
      </c>
    </row>
    <row r="105">
      <c r="A105" s="3" t="s">
        <v>1085</v>
      </c>
      <c r="B105" s="3" t="s">
        <v>121</v>
      </c>
      <c r="C105" s="860" t="s">
        <v>1075</v>
      </c>
      <c r="D105" s="3" t="s">
        <v>106</v>
      </c>
    </row>
    <row r="106">
      <c r="A106" s="3" t="s">
        <v>1085</v>
      </c>
      <c r="B106" s="3" t="s">
        <v>124</v>
      </c>
      <c r="C106" s="860" t="s">
        <v>1075</v>
      </c>
      <c r="D106" s="3" t="s">
        <v>106</v>
      </c>
    </row>
    <row r="107">
      <c r="A107" s="3" t="s">
        <v>1085</v>
      </c>
      <c r="B107" s="3" t="s">
        <v>127</v>
      </c>
      <c r="C107" s="860" t="s">
        <v>1075</v>
      </c>
      <c r="D107" s="3" t="s">
        <v>106</v>
      </c>
    </row>
    <row r="108">
      <c r="A108" s="3" t="s">
        <v>1085</v>
      </c>
      <c r="B108" s="3" t="s">
        <v>132</v>
      </c>
      <c r="C108" s="860" t="s">
        <v>1075</v>
      </c>
      <c r="D108" s="3" t="s">
        <v>106</v>
      </c>
    </row>
    <row r="109">
      <c r="A109" s="3" t="s">
        <v>1085</v>
      </c>
      <c r="B109" s="3" t="s">
        <v>135</v>
      </c>
      <c r="C109" s="860" t="s">
        <v>1075</v>
      </c>
      <c r="D109" s="3" t="s">
        <v>106</v>
      </c>
    </row>
    <row r="110">
      <c r="A110" s="3" t="s">
        <v>1085</v>
      </c>
      <c r="B110" s="3" t="s">
        <v>138</v>
      </c>
      <c r="C110" s="860" t="s">
        <v>1075</v>
      </c>
      <c r="D110" s="3" t="s">
        <v>106</v>
      </c>
    </row>
    <row r="111">
      <c r="A111" s="3" t="s">
        <v>1086</v>
      </c>
      <c r="B111" s="3" t="s">
        <v>95</v>
      </c>
      <c r="C111" s="860" t="s">
        <v>1075</v>
      </c>
      <c r="D111" s="3" t="s">
        <v>66</v>
      </c>
    </row>
    <row r="112">
      <c r="A112" s="3" t="s">
        <v>1086</v>
      </c>
      <c r="B112" s="3" t="s">
        <v>186</v>
      </c>
      <c r="C112" s="860" t="s">
        <v>1075</v>
      </c>
      <c r="D112" s="3" t="s">
        <v>187</v>
      </c>
    </row>
    <row r="113">
      <c r="A113" s="3" t="s">
        <v>1086</v>
      </c>
      <c r="B113" s="3" t="s">
        <v>112</v>
      </c>
      <c r="C113" s="860" t="s">
        <v>1075</v>
      </c>
      <c r="D113" s="3" t="s">
        <v>106</v>
      </c>
    </row>
    <row r="114">
      <c r="A114" s="3" t="s">
        <v>1086</v>
      </c>
      <c r="B114" s="3" t="s">
        <v>118</v>
      </c>
      <c r="C114" s="860" t="s">
        <v>1075</v>
      </c>
      <c r="D114" s="3" t="s">
        <v>106</v>
      </c>
    </row>
    <row r="115">
      <c r="A115" s="3" t="s">
        <v>1086</v>
      </c>
      <c r="B115" s="3" t="s">
        <v>121</v>
      </c>
      <c r="C115" s="860" t="s">
        <v>1075</v>
      </c>
      <c r="D115" s="3" t="s">
        <v>106</v>
      </c>
    </row>
    <row r="116">
      <c r="A116" s="3" t="s">
        <v>1086</v>
      </c>
      <c r="B116" s="3" t="s">
        <v>124</v>
      </c>
      <c r="C116" s="860" t="s">
        <v>1075</v>
      </c>
      <c r="D116" s="3" t="s">
        <v>106</v>
      </c>
    </row>
    <row r="117">
      <c r="A117" s="3" t="s">
        <v>1086</v>
      </c>
      <c r="B117" s="3" t="s">
        <v>127</v>
      </c>
      <c r="C117" s="860" t="s">
        <v>1075</v>
      </c>
      <c r="D117" s="3" t="s">
        <v>106</v>
      </c>
    </row>
    <row r="118">
      <c r="A118" s="3" t="s">
        <v>1086</v>
      </c>
      <c r="B118" s="3" t="s">
        <v>132</v>
      </c>
      <c r="C118" s="860" t="s">
        <v>1075</v>
      </c>
      <c r="D118" s="3" t="s">
        <v>106</v>
      </c>
    </row>
    <row r="119">
      <c r="A119" s="3" t="s">
        <v>1086</v>
      </c>
      <c r="B119" s="3" t="s">
        <v>135</v>
      </c>
      <c r="C119" s="860" t="s">
        <v>1075</v>
      </c>
      <c r="D119" s="3" t="s">
        <v>106</v>
      </c>
    </row>
    <row r="120">
      <c r="A120" s="3" t="s">
        <v>1086</v>
      </c>
      <c r="B120" s="3" t="s">
        <v>138</v>
      </c>
      <c r="C120" s="860" t="s">
        <v>1075</v>
      </c>
      <c r="D120" s="3" t="s">
        <v>106</v>
      </c>
    </row>
    <row r="121">
      <c r="A121" s="3" t="s">
        <v>1086</v>
      </c>
      <c r="B121" s="3" t="s">
        <v>141</v>
      </c>
      <c r="C121" s="860" t="s">
        <v>1075</v>
      </c>
      <c r="D121" s="3" t="s">
        <v>106</v>
      </c>
    </row>
    <row r="122">
      <c r="A122" s="3" t="s">
        <v>1086</v>
      </c>
      <c r="B122" s="3" t="s">
        <v>160</v>
      </c>
      <c r="C122" s="860" t="s">
        <v>1075</v>
      </c>
      <c r="D122" s="3" t="s">
        <v>145</v>
      </c>
    </row>
    <row r="123">
      <c r="A123" s="3" t="s">
        <v>1086</v>
      </c>
      <c r="B123" s="3" t="s">
        <v>170</v>
      </c>
      <c r="C123" s="860" t="s">
        <v>1075</v>
      </c>
      <c r="D123" s="3" t="s">
        <v>164</v>
      </c>
    </row>
    <row r="124">
      <c r="A124" s="3" t="s">
        <v>1086</v>
      </c>
      <c r="B124" s="3" t="s">
        <v>27</v>
      </c>
      <c r="C124" s="860" t="s">
        <v>1075</v>
      </c>
      <c r="D124" s="3" t="s">
        <v>24</v>
      </c>
    </row>
    <row r="125">
      <c r="A125" s="3" t="s">
        <v>1086</v>
      </c>
      <c r="B125" s="3" t="s">
        <v>34</v>
      </c>
      <c r="C125" s="860" t="s">
        <v>1075</v>
      </c>
      <c r="D125" s="3" t="s">
        <v>31</v>
      </c>
    </row>
    <row r="126">
      <c r="A126" s="3" t="s">
        <v>1087</v>
      </c>
      <c r="B126" s="3" t="s">
        <v>95</v>
      </c>
      <c r="C126" s="860" t="s">
        <v>1075</v>
      </c>
      <c r="D126" s="3" t="s">
        <v>66</v>
      </c>
    </row>
    <row r="127">
      <c r="A127" s="3" t="s">
        <v>1087</v>
      </c>
      <c r="B127" s="3" t="s">
        <v>186</v>
      </c>
      <c r="C127" s="860" t="s">
        <v>1075</v>
      </c>
      <c r="D127" s="3" t="s">
        <v>187</v>
      </c>
    </row>
    <row r="128">
      <c r="A128" s="3" t="s">
        <v>1087</v>
      </c>
      <c r="B128" s="3" t="s">
        <v>112</v>
      </c>
      <c r="C128" s="860" t="s">
        <v>1075</v>
      </c>
      <c r="D128" s="3" t="s">
        <v>106</v>
      </c>
    </row>
    <row r="129">
      <c r="A129" s="3" t="s">
        <v>1087</v>
      </c>
      <c r="B129" s="3" t="s">
        <v>118</v>
      </c>
      <c r="C129" s="860" t="s">
        <v>1075</v>
      </c>
      <c r="D129" s="3" t="s">
        <v>106</v>
      </c>
    </row>
    <row r="130">
      <c r="A130" s="3" t="s">
        <v>1087</v>
      </c>
      <c r="B130" s="3" t="s">
        <v>121</v>
      </c>
      <c r="C130" s="860" t="s">
        <v>1075</v>
      </c>
      <c r="D130" s="3" t="s">
        <v>106</v>
      </c>
    </row>
    <row r="131">
      <c r="A131" s="3" t="s">
        <v>1087</v>
      </c>
      <c r="B131" s="3" t="s">
        <v>124</v>
      </c>
      <c r="C131" s="860" t="s">
        <v>1075</v>
      </c>
      <c r="D131" s="3" t="s">
        <v>106</v>
      </c>
    </row>
    <row r="132">
      <c r="A132" s="3" t="s">
        <v>1088</v>
      </c>
      <c r="B132" s="3" t="s">
        <v>95</v>
      </c>
      <c r="C132" s="860" t="s">
        <v>1075</v>
      </c>
      <c r="D132" s="3" t="s">
        <v>66</v>
      </c>
    </row>
    <row r="133">
      <c r="A133" s="3" t="s">
        <v>1088</v>
      </c>
      <c r="B133" s="3" t="s">
        <v>186</v>
      </c>
      <c r="C133" s="860" t="s">
        <v>1075</v>
      </c>
      <c r="D133" s="3" t="s">
        <v>187</v>
      </c>
    </row>
    <row r="134">
      <c r="A134" s="3" t="s">
        <v>1088</v>
      </c>
      <c r="B134" s="3" t="s">
        <v>112</v>
      </c>
      <c r="C134" s="860" t="s">
        <v>1075</v>
      </c>
      <c r="D134" s="3" t="s">
        <v>106</v>
      </c>
    </row>
    <row r="135">
      <c r="A135" s="3" t="s">
        <v>1088</v>
      </c>
      <c r="B135" s="3" t="s">
        <v>118</v>
      </c>
      <c r="C135" s="860" t="s">
        <v>1075</v>
      </c>
      <c r="D135" s="3" t="s">
        <v>106</v>
      </c>
    </row>
    <row r="136">
      <c r="A136" s="3" t="s">
        <v>1088</v>
      </c>
      <c r="B136" s="3" t="s">
        <v>121</v>
      </c>
      <c r="C136" s="860" t="s">
        <v>1075</v>
      </c>
      <c r="D136" s="3" t="s">
        <v>106</v>
      </c>
    </row>
    <row r="137">
      <c r="A137" s="3" t="s">
        <v>1088</v>
      </c>
      <c r="B137" s="3" t="s">
        <v>124</v>
      </c>
      <c r="C137" s="860" t="s">
        <v>1075</v>
      </c>
      <c r="D137" s="3" t="s">
        <v>106</v>
      </c>
    </row>
    <row r="138">
      <c r="A138" s="3" t="s">
        <v>1088</v>
      </c>
      <c r="B138" s="3" t="s">
        <v>127</v>
      </c>
      <c r="C138" s="860" t="s">
        <v>1075</v>
      </c>
      <c r="D138" s="3" t="s">
        <v>106</v>
      </c>
    </row>
    <row r="139">
      <c r="A139" s="3" t="s">
        <v>1088</v>
      </c>
      <c r="B139" s="3" t="s">
        <v>132</v>
      </c>
      <c r="C139" s="860" t="s">
        <v>1075</v>
      </c>
      <c r="D139" s="3" t="s">
        <v>106</v>
      </c>
    </row>
    <row r="140">
      <c r="A140" s="3" t="s">
        <v>1088</v>
      </c>
      <c r="B140" s="3" t="s">
        <v>135</v>
      </c>
      <c r="C140" s="860" t="s">
        <v>1075</v>
      </c>
      <c r="D140" s="3" t="s">
        <v>106</v>
      </c>
    </row>
    <row r="141">
      <c r="A141" s="3" t="s">
        <v>1088</v>
      </c>
      <c r="B141" s="3" t="s">
        <v>138</v>
      </c>
      <c r="C141" s="860" t="s">
        <v>1075</v>
      </c>
      <c r="D141" s="3" t="s">
        <v>106</v>
      </c>
    </row>
    <row r="142">
      <c r="A142" s="3" t="s">
        <v>1089</v>
      </c>
      <c r="B142" s="3" t="s">
        <v>95</v>
      </c>
      <c r="C142" s="860" t="s">
        <v>1075</v>
      </c>
      <c r="D142" s="3" t="s">
        <v>66</v>
      </c>
    </row>
    <row r="143">
      <c r="A143" s="3" t="s">
        <v>1089</v>
      </c>
      <c r="B143" s="3" t="s">
        <v>186</v>
      </c>
      <c r="C143" s="860" t="s">
        <v>1075</v>
      </c>
      <c r="D143" s="3" t="s">
        <v>187</v>
      </c>
    </row>
    <row r="144">
      <c r="A144" s="3" t="s">
        <v>1089</v>
      </c>
      <c r="B144" s="3" t="s">
        <v>112</v>
      </c>
      <c r="C144" s="860" t="s">
        <v>1075</v>
      </c>
      <c r="D144" s="3" t="s">
        <v>106</v>
      </c>
    </row>
    <row r="145">
      <c r="A145" s="3" t="s">
        <v>1089</v>
      </c>
      <c r="B145" s="3" t="s">
        <v>118</v>
      </c>
      <c r="C145" s="860" t="s">
        <v>1075</v>
      </c>
      <c r="D145" s="3" t="s">
        <v>106</v>
      </c>
    </row>
    <row r="146">
      <c r="A146" s="3" t="s">
        <v>1089</v>
      </c>
      <c r="B146" s="3" t="s">
        <v>121</v>
      </c>
      <c r="C146" s="860" t="s">
        <v>1075</v>
      </c>
      <c r="D146" s="3" t="s">
        <v>106</v>
      </c>
    </row>
    <row r="147">
      <c r="A147" s="3" t="s">
        <v>1089</v>
      </c>
      <c r="B147" s="3" t="s">
        <v>124</v>
      </c>
      <c r="C147" s="860" t="s">
        <v>1075</v>
      </c>
      <c r="D147" s="3" t="s">
        <v>106</v>
      </c>
    </row>
    <row r="148">
      <c r="A148" s="3" t="s">
        <v>1089</v>
      </c>
      <c r="B148" s="3" t="s">
        <v>127</v>
      </c>
      <c r="C148" s="860" t="s">
        <v>1075</v>
      </c>
      <c r="D148" s="3" t="s">
        <v>106</v>
      </c>
    </row>
    <row r="149">
      <c r="A149" s="3" t="s">
        <v>1089</v>
      </c>
      <c r="B149" s="3" t="s">
        <v>132</v>
      </c>
      <c r="C149" s="860" t="s">
        <v>1075</v>
      </c>
      <c r="D149" s="3" t="s">
        <v>106</v>
      </c>
    </row>
    <row r="150">
      <c r="A150" s="3" t="s">
        <v>1089</v>
      </c>
      <c r="B150" s="3" t="s">
        <v>135</v>
      </c>
      <c r="C150" s="860" t="s">
        <v>1075</v>
      </c>
      <c r="D150" s="3" t="s">
        <v>106</v>
      </c>
    </row>
    <row r="151">
      <c r="A151" s="3" t="s">
        <v>1089</v>
      </c>
      <c r="B151" s="3" t="s">
        <v>138</v>
      </c>
      <c r="C151" s="860" t="s">
        <v>1075</v>
      </c>
      <c r="D151" s="3" t="s">
        <v>106</v>
      </c>
    </row>
    <row r="152">
      <c r="A152" s="3" t="s">
        <v>1089</v>
      </c>
      <c r="B152" s="3" t="s">
        <v>141</v>
      </c>
      <c r="C152" s="860" t="s">
        <v>1075</v>
      </c>
      <c r="D152" s="3" t="s">
        <v>106</v>
      </c>
    </row>
    <row r="153">
      <c r="A153" s="3" t="s">
        <v>1089</v>
      </c>
      <c r="B153" s="3" t="s">
        <v>160</v>
      </c>
      <c r="C153" s="860" t="s">
        <v>1075</v>
      </c>
      <c r="D153" s="3" t="s">
        <v>145</v>
      </c>
    </row>
    <row r="154">
      <c r="A154" s="3" t="s">
        <v>1089</v>
      </c>
      <c r="B154" s="3" t="s">
        <v>170</v>
      </c>
      <c r="C154" s="860" t="s">
        <v>1075</v>
      </c>
      <c r="D154" s="3" t="s">
        <v>164</v>
      </c>
    </row>
    <row r="155">
      <c r="A155" s="3" t="s">
        <v>1089</v>
      </c>
      <c r="B155" s="3" t="s">
        <v>27</v>
      </c>
      <c r="C155" s="860" t="s">
        <v>1075</v>
      </c>
      <c r="D155" s="3" t="s">
        <v>24</v>
      </c>
    </row>
    <row r="156">
      <c r="A156" s="3" t="s">
        <v>1089</v>
      </c>
      <c r="B156" s="3" t="s">
        <v>34</v>
      </c>
      <c r="C156" s="860" t="s">
        <v>1075</v>
      </c>
      <c r="D156" s="3" t="s">
        <v>31</v>
      </c>
    </row>
    <row r="157">
      <c r="A157" s="3" t="s">
        <v>1090</v>
      </c>
      <c r="B157" s="3" t="s">
        <v>95</v>
      </c>
      <c r="C157" s="860" t="s">
        <v>1075</v>
      </c>
      <c r="D157" s="3" t="s">
        <v>66</v>
      </c>
    </row>
    <row r="158">
      <c r="A158" s="3" t="s">
        <v>1090</v>
      </c>
      <c r="B158" s="3" t="s">
        <v>186</v>
      </c>
      <c r="C158" s="860" t="s">
        <v>1075</v>
      </c>
      <c r="D158" s="3" t="s">
        <v>187</v>
      </c>
    </row>
    <row r="159">
      <c r="A159" s="3" t="s">
        <v>1090</v>
      </c>
      <c r="B159" s="3" t="s">
        <v>112</v>
      </c>
      <c r="C159" s="860" t="s">
        <v>1075</v>
      </c>
      <c r="D159" s="3" t="s">
        <v>106</v>
      </c>
    </row>
    <row r="160">
      <c r="A160" s="3" t="s">
        <v>1090</v>
      </c>
      <c r="B160" s="3" t="s">
        <v>118</v>
      </c>
      <c r="C160" s="860" t="s">
        <v>1075</v>
      </c>
      <c r="D160" s="3" t="s">
        <v>106</v>
      </c>
    </row>
    <row r="161">
      <c r="A161" s="3" t="s">
        <v>1090</v>
      </c>
      <c r="B161" s="3" t="s">
        <v>121</v>
      </c>
      <c r="C161" s="860" t="s">
        <v>1075</v>
      </c>
      <c r="D161" s="3" t="s">
        <v>106</v>
      </c>
    </row>
    <row r="162">
      <c r="A162" s="3" t="s">
        <v>1090</v>
      </c>
      <c r="B162" s="3" t="s">
        <v>124</v>
      </c>
      <c r="C162" s="860" t="s">
        <v>1075</v>
      </c>
      <c r="D162" s="3" t="s">
        <v>106</v>
      </c>
    </row>
    <row r="163">
      <c r="A163" s="3" t="s">
        <v>1091</v>
      </c>
      <c r="B163" s="3" t="s">
        <v>95</v>
      </c>
      <c r="C163" s="860" t="s">
        <v>1075</v>
      </c>
      <c r="D163" s="3" t="s">
        <v>66</v>
      </c>
    </row>
    <row r="164">
      <c r="A164" s="3" t="s">
        <v>1091</v>
      </c>
      <c r="B164" s="3" t="s">
        <v>186</v>
      </c>
      <c r="C164" s="860" t="s">
        <v>1075</v>
      </c>
      <c r="D164" s="3" t="s">
        <v>187</v>
      </c>
    </row>
    <row r="165">
      <c r="A165" s="3" t="s">
        <v>1091</v>
      </c>
      <c r="B165" s="3" t="s">
        <v>112</v>
      </c>
      <c r="C165" s="860" t="s">
        <v>1075</v>
      </c>
      <c r="D165" s="3" t="s">
        <v>106</v>
      </c>
    </row>
    <row r="166">
      <c r="A166" s="3" t="s">
        <v>1091</v>
      </c>
      <c r="B166" s="3" t="s">
        <v>118</v>
      </c>
      <c r="C166" s="860" t="s">
        <v>1075</v>
      </c>
      <c r="D166" s="3" t="s">
        <v>106</v>
      </c>
    </row>
    <row r="167">
      <c r="A167" s="3" t="s">
        <v>1091</v>
      </c>
      <c r="B167" s="3" t="s">
        <v>121</v>
      </c>
      <c r="C167" s="860" t="s">
        <v>1075</v>
      </c>
      <c r="D167" s="3" t="s">
        <v>106</v>
      </c>
    </row>
    <row r="168">
      <c r="A168" s="3" t="s">
        <v>1091</v>
      </c>
      <c r="B168" s="3" t="s">
        <v>124</v>
      </c>
      <c r="C168" s="860" t="s">
        <v>1075</v>
      </c>
      <c r="D168" s="3" t="s">
        <v>106</v>
      </c>
    </row>
    <row r="169">
      <c r="A169" s="3" t="s">
        <v>1091</v>
      </c>
      <c r="B169" s="3" t="s">
        <v>127</v>
      </c>
      <c r="C169" s="860" t="s">
        <v>1075</v>
      </c>
      <c r="D169" s="3" t="s">
        <v>106</v>
      </c>
    </row>
    <row r="170">
      <c r="A170" s="3" t="s">
        <v>1091</v>
      </c>
      <c r="B170" s="3" t="s">
        <v>132</v>
      </c>
      <c r="C170" s="860" t="s">
        <v>1075</v>
      </c>
      <c r="D170" s="3" t="s">
        <v>106</v>
      </c>
    </row>
    <row r="171">
      <c r="A171" s="3" t="s">
        <v>1091</v>
      </c>
      <c r="B171" s="3" t="s">
        <v>135</v>
      </c>
      <c r="C171" s="860" t="s">
        <v>1075</v>
      </c>
      <c r="D171" s="3" t="s">
        <v>106</v>
      </c>
    </row>
    <row r="172">
      <c r="A172" s="3" t="s">
        <v>1091</v>
      </c>
      <c r="B172" s="3" t="s">
        <v>138</v>
      </c>
      <c r="C172" s="860" t="s">
        <v>1075</v>
      </c>
      <c r="D172" s="3" t="s">
        <v>106</v>
      </c>
    </row>
    <row r="173">
      <c r="A173" s="3" t="s">
        <v>1092</v>
      </c>
      <c r="B173" s="3" t="s">
        <v>95</v>
      </c>
      <c r="C173" s="860" t="s">
        <v>1075</v>
      </c>
      <c r="D173" s="3" t="s">
        <v>66</v>
      </c>
    </row>
    <row r="174">
      <c r="A174" s="3" t="s">
        <v>1092</v>
      </c>
      <c r="B174" s="3" t="s">
        <v>186</v>
      </c>
      <c r="C174" s="860" t="s">
        <v>1075</v>
      </c>
      <c r="D174" s="3" t="s">
        <v>187</v>
      </c>
    </row>
    <row r="175">
      <c r="A175" s="3" t="s">
        <v>1092</v>
      </c>
      <c r="B175" s="3" t="s">
        <v>112</v>
      </c>
      <c r="C175" s="860" t="s">
        <v>1075</v>
      </c>
      <c r="D175" s="3" t="s">
        <v>106</v>
      </c>
    </row>
    <row r="176">
      <c r="A176" s="3" t="s">
        <v>1092</v>
      </c>
      <c r="B176" s="3" t="s">
        <v>118</v>
      </c>
      <c r="C176" s="860" t="s">
        <v>1075</v>
      </c>
      <c r="D176" s="3" t="s">
        <v>106</v>
      </c>
    </row>
    <row r="177">
      <c r="A177" s="3" t="s">
        <v>1092</v>
      </c>
      <c r="B177" s="3" t="s">
        <v>121</v>
      </c>
      <c r="C177" s="860" t="s">
        <v>1075</v>
      </c>
      <c r="D177" s="3" t="s">
        <v>106</v>
      </c>
    </row>
    <row r="178">
      <c r="A178" s="3" t="s">
        <v>1092</v>
      </c>
      <c r="B178" s="3" t="s">
        <v>124</v>
      </c>
      <c r="C178" s="860" t="s">
        <v>1075</v>
      </c>
      <c r="D178" s="3" t="s">
        <v>106</v>
      </c>
    </row>
    <row r="179">
      <c r="A179" s="3" t="s">
        <v>1092</v>
      </c>
      <c r="B179" s="3" t="s">
        <v>127</v>
      </c>
      <c r="C179" s="860" t="s">
        <v>1075</v>
      </c>
      <c r="D179" s="3" t="s">
        <v>106</v>
      </c>
    </row>
    <row r="180">
      <c r="A180" s="3" t="s">
        <v>1092</v>
      </c>
      <c r="B180" s="3" t="s">
        <v>132</v>
      </c>
      <c r="C180" s="860" t="s">
        <v>1075</v>
      </c>
      <c r="D180" s="3" t="s">
        <v>106</v>
      </c>
    </row>
    <row r="181">
      <c r="A181" s="3" t="s">
        <v>1092</v>
      </c>
      <c r="B181" s="3" t="s">
        <v>135</v>
      </c>
      <c r="C181" s="860" t="s">
        <v>1075</v>
      </c>
      <c r="D181" s="3" t="s">
        <v>106</v>
      </c>
    </row>
    <row r="182">
      <c r="A182" s="3" t="s">
        <v>1092</v>
      </c>
      <c r="B182" s="3" t="s">
        <v>138</v>
      </c>
      <c r="C182" s="860" t="s">
        <v>1075</v>
      </c>
      <c r="D182" s="3" t="s">
        <v>106</v>
      </c>
    </row>
    <row r="183">
      <c r="A183" s="3" t="s">
        <v>1092</v>
      </c>
      <c r="B183" s="3" t="s">
        <v>141</v>
      </c>
      <c r="C183" s="860" t="s">
        <v>1075</v>
      </c>
      <c r="D183" s="3" t="s">
        <v>106</v>
      </c>
    </row>
    <row r="184">
      <c r="A184" s="3" t="s">
        <v>1092</v>
      </c>
      <c r="B184" s="3" t="s">
        <v>160</v>
      </c>
      <c r="C184" s="860" t="s">
        <v>1075</v>
      </c>
      <c r="D184" s="3" t="s">
        <v>145</v>
      </c>
    </row>
    <row r="185">
      <c r="A185" s="3" t="s">
        <v>1092</v>
      </c>
      <c r="B185" s="3" t="s">
        <v>170</v>
      </c>
      <c r="C185" s="860" t="s">
        <v>1075</v>
      </c>
      <c r="D185" s="3" t="s">
        <v>164</v>
      </c>
    </row>
    <row r="186">
      <c r="A186" s="3" t="s">
        <v>1092</v>
      </c>
      <c r="B186" s="3" t="s">
        <v>27</v>
      </c>
      <c r="C186" s="860" t="s">
        <v>1075</v>
      </c>
      <c r="D186" s="3" t="s">
        <v>24</v>
      </c>
    </row>
    <row r="187">
      <c r="A187" s="3" t="s">
        <v>1092</v>
      </c>
      <c r="B187" s="3" t="s">
        <v>34</v>
      </c>
      <c r="C187" s="860" t="s">
        <v>1075</v>
      </c>
      <c r="D187" s="3" t="s">
        <v>31</v>
      </c>
    </row>
    <row r="188">
      <c r="A188" s="3" t="s">
        <v>1093</v>
      </c>
      <c r="B188" s="3" t="s">
        <v>95</v>
      </c>
      <c r="C188" s="860" t="s">
        <v>1075</v>
      </c>
      <c r="D188" s="3" t="s">
        <v>66</v>
      </c>
    </row>
    <row r="189">
      <c r="A189" s="3" t="s">
        <v>1093</v>
      </c>
      <c r="B189" s="3" t="s">
        <v>186</v>
      </c>
      <c r="C189" s="860" t="s">
        <v>1075</v>
      </c>
      <c r="D189" s="3" t="s">
        <v>187</v>
      </c>
    </row>
    <row r="190">
      <c r="A190" s="3" t="s">
        <v>1093</v>
      </c>
      <c r="B190" s="3" t="s">
        <v>112</v>
      </c>
      <c r="C190" s="860" t="s">
        <v>1075</v>
      </c>
      <c r="D190" s="3" t="s">
        <v>106</v>
      </c>
    </row>
    <row r="191">
      <c r="A191" s="3" t="s">
        <v>1093</v>
      </c>
      <c r="B191" s="3" t="s">
        <v>118</v>
      </c>
      <c r="C191" s="860" t="s">
        <v>1075</v>
      </c>
      <c r="D191" s="3" t="s">
        <v>106</v>
      </c>
    </row>
    <row r="192">
      <c r="A192" s="3" t="s">
        <v>1093</v>
      </c>
      <c r="B192" s="3" t="s">
        <v>121</v>
      </c>
      <c r="C192" s="860" t="s">
        <v>1075</v>
      </c>
      <c r="D192" s="3" t="s">
        <v>106</v>
      </c>
    </row>
    <row r="193">
      <c r="A193" s="3" t="s">
        <v>1093</v>
      </c>
      <c r="B193" s="3" t="s">
        <v>124</v>
      </c>
      <c r="C193" s="860" t="s">
        <v>1075</v>
      </c>
      <c r="D193" s="3" t="s">
        <v>106</v>
      </c>
    </row>
    <row r="194">
      <c r="A194" s="3" t="s">
        <v>1094</v>
      </c>
      <c r="B194" s="3" t="s">
        <v>95</v>
      </c>
      <c r="C194" s="860" t="s">
        <v>1075</v>
      </c>
      <c r="D194" s="3" t="s">
        <v>66</v>
      </c>
    </row>
    <row r="195">
      <c r="A195" s="3" t="s">
        <v>1094</v>
      </c>
      <c r="B195" s="3" t="s">
        <v>186</v>
      </c>
      <c r="C195" s="860" t="s">
        <v>1075</v>
      </c>
      <c r="D195" s="3" t="s">
        <v>187</v>
      </c>
    </row>
    <row r="196">
      <c r="A196" s="3" t="s">
        <v>1094</v>
      </c>
      <c r="B196" s="3" t="s">
        <v>112</v>
      </c>
      <c r="C196" s="860" t="s">
        <v>1075</v>
      </c>
      <c r="D196" s="3" t="s">
        <v>106</v>
      </c>
    </row>
    <row r="197">
      <c r="A197" s="3" t="s">
        <v>1094</v>
      </c>
      <c r="B197" s="3" t="s">
        <v>118</v>
      </c>
      <c r="C197" s="860" t="s">
        <v>1075</v>
      </c>
      <c r="D197" s="3" t="s">
        <v>106</v>
      </c>
    </row>
    <row r="198">
      <c r="A198" s="3" t="s">
        <v>1094</v>
      </c>
      <c r="B198" s="3" t="s">
        <v>121</v>
      </c>
      <c r="C198" s="860" t="s">
        <v>1075</v>
      </c>
      <c r="D198" s="3" t="s">
        <v>106</v>
      </c>
    </row>
    <row r="199">
      <c r="A199" s="3" t="s">
        <v>1094</v>
      </c>
      <c r="B199" s="3" t="s">
        <v>124</v>
      </c>
      <c r="C199" s="860" t="s">
        <v>1075</v>
      </c>
      <c r="D199" s="3" t="s">
        <v>106</v>
      </c>
    </row>
    <row r="200">
      <c r="A200" s="3" t="s">
        <v>1094</v>
      </c>
      <c r="B200" s="3" t="s">
        <v>127</v>
      </c>
      <c r="C200" s="860" t="s">
        <v>1075</v>
      </c>
      <c r="D200" s="3" t="s">
        <v>106</v>
      </c>
    </row>
    <row r="201">
      <c r="A201" s="3" t="s">
        <v>1094</v>
      </c>
      <c r="B201" s="3" t="s">
        <v>132</v>
      </c>
      <c r="C201" s="860" t="s">
        <v>1075</v>
      </c>
      <c r="D201" s="3" t="s">
        <v>106</v>
      </c>
    </row>
    <row r="202">
      <c r="A202" s="3" t="s">
        <v>1094</v>
      </c>
      <c r="B202" s="3" t="s">
        <v>135</v>
      </c>
      <c r="C202" s="860" t="s">
        <v>1075</v>
      </c>
      <c r="D202" s="3" t="s">
        <v>106</v>
      </c>
    </row>
    <row r="203">
      <c r="A203" s="3" t="s">
        <v>1094</v>
      </c>
      <c r="B203" s="3" t="s">
        <v>138</v>
      </c>
      <c r="C203" s="860" t="s">
        <v>1075</v>
      </c>
      <c r="D203" s="3" t="s">
        <v>106</v>
      </c>
    </row>
    <row r="204">
      <c r="A204" s="3" t="s">
        <v>1095</v>
      </c>
      <c r="B204" s="3" t="s">
        <v>95</v>
      </c>
      <c r="C204" s="860" t="s">
        <v>1075</v>
      </c>
      <c r="D204" s="3" t="s">
        <v>66</v>
      </c>
    </row>
    <row r="205">
      <c r="A205" s="3" t="s">
        <v>1095</v>
      </c>
      <c r="B205" s="3" t="s">
        <v>186</v>
      </c>
      <c r="C205" s="860" t="s">
        <v>1075</v>
      </c>
      <c r="D205" s="3" t="s">
        <v>187</v>
      </c>
    </row>
    <row r="206">
      <c r="A206" s="3" t="s">
        <v>1095</v>
      </c>
      <c r="B206" s="3" t="s">
        <v>112</v>
      </c>
      <c r="C206" s="860" t="s">
        <v>1075</v>
      </c>
      <c r="D206" s="3" t="s">
        <v>106</v>
      </c>
    </row>
    <row r="207">
      <c r="A207" s="3" t="s">
        <v>1095</v>
      </c>
      <c r="B207" s="3" t="s">
        <v>118</v>
      </c>
      <c r="C207" s="860" t="s">
        <v>1075</v>
      </c>
      <c r="D207" s="3" t="s">
        <v>106</v>
      </c>
    </row>
    <row r="208">
      <c r="A208" s="3" t="s">
        <v>1095</v>
      </c>
      <c r="B208" s="3" t="s">
        <v>121</v>
      </c>
      <c r="C208" s="860" t="s">
        <v>1075</v>
      </c>
      <c r="D208" s="3" t="s">
        <v>106</v>
      </c>
    </row>
    <row r="209">
      <c r="A209" s="3" t="s">
        <v>1095</v>
      </c>
      <c r="B209" s="3" t="s">
        <v>124</v>
      </c>
      <c r="C209" s="860" t="s">
        <v>1075</v>
      </c>
      <c r="D209" s="3" t="s">
        <v>106</v>
      </c>
    </row>
    <row r="210">
      <c r="A210" s="3" t="s">
        <v>1095</v>
      </c>
      <c r="B210" s="3" t="s">
        <v>127</v>
      </c>
      <c r="C210" s="860" t="s">
        <v>1075</v>
      </c>
      <c r="D210" s="3" t="s">
        <v>106</v>
      </c>
    </row>
    <row r="211">
      <c r="A211" s="3" t="s">
        <v>1095</v>
      </c>
      <c r="B211" s="3" t="s">
        <v>132</v>
      </c>
      <c r="C211" s="860" t="s">
        <v>1075</v>
      </c>
      <c r="D211" s="3" t="s">
        <v>106</v>
      </c>
    </row>
    <row r="212">
      <c r="A212" s="3" t="s">
        <v>1095</v>
      </c>
      <c r="B212" s="3" t="s">
        <v>135</v>
      </c>
      <c r="C212" s="860" t="s">
        <v>1075</v>
      </c>
      <c r="D212" s="3" t="s">
        <v>106</v>
      </c>
    </row>
    <row r="213">
      <c r="A213" s="3" t="s">
        <v>1095</v>
      </c>
      <c r="B213" s="3" t="s">
        <v>138</v>
      </c>
      <c r="C213" s="860" t="s">
        <v>1075</v>
      </c>
      <c r="D213" s="3" t="s">
        <v>106</v>
      </c>
    </row>
    <row r="214">
      <c r="A214" s="3" t="s">
        <v>1095</v>
      </c>
      <c r="B214" s="3" t="s">
        <v>141</v>
      </c>
      <c r="C214" s="860" t="s">
        <v>1075</v>
      </c>
      <c r="D214" s="3" t="s">
        <v>106</v>
      </c>
    </row>
    <row r="215">
      <c r="A215" s="3" t="s">
        <v>1095</v>
      </c>
      <c r="B215" s="3" t="s">
        <v>160</v>
      </c>
      <c r="C215" s="860" t="s">
        <v>1075</v>
      </c>
      <c r="D215" s="3" t="s">
        <v>145</v>
      </c>
    </row>
    <row r="216">
      <c r="A216" s="3" t="s">
        <v>1095</v>
      </c>
      <c r="B216" s="3" t="s">
        <v>170</v>
      </c>
      <c r="C216" s="860" t="s">
        <v>1075</v>
      </c>
      <c r="D216" s="3" t="s">
        <v>164</v>
      </c>
    </row>
    <row r="217">
      <c r="A217" s="3" t="s">
        <v>1095</v>
      </c>
      <c r="B217" s="3" t="s">
        <v>27</v>
      </c>
      <c r="C217" s="860" t="s">
        <v>1075</v>
      </c>
      <c r="D217" s="3" t="s">
        <v>24</v>
      </c>
    </row>
    <row r="218">
      <c r="A218" s="3" t="s">
        <v>1095</v>
      </c>
      <c r="B218" s="3" t="s">
        <v>34</v>
      </c>
      <c r="C218" s="860" t="s">
        <v>1075</v>
      </c>
      <c r="D218" s="3" t="s">
        <v>31</v>
      </c>
    </row>
    <row r="219">
      <c r="A219" s="3" t="s">
        <v>1096</v>
      </c>
      <c r="B219" s="3" t="s">
        <v>95</v>
      </c>
      <c r="C219" s="860" t="s">
        <v>1075</v>
      </c>
      <c r="D219" s="3" t="s">
        <v>66</v>
      </c>
    </row>
    <row r="220">
      <c r="A220" s="3" t="s">
        <v>1096</v>
      </c>
      <c r="B220" s="3" t="s">
        <v>186</v>
      </c>
      <c r="C220" s="860" t="s">
        <v>1075</v>
      </c>
      <c r="D220" s="3" t="s">
        <v>187</v>
      </c>
    </row>
    <row r="221">
      <c r="A221" s="3" t="s">
        <v>1096</v>
      </c>
      <c r="B221" s="3" t="s">
        <v>112</v>
      </c>
      <c r="C221" s="860" t="s">
        <v>1075</v>
      </c>
      <c r="D221" s="3" t="s">
        <v>106</v>
      </c>
    </row>
    <row r="222">
      <c r="A222" s="3" t="s">
        <v>1096</v>
      </c>
      <c r="B222" s="3" t="s">
        <v>118</v>
      </c>
      <c r="C222" s="860" t="s">
        <v>1075</v>
      </c>
      <c r="D222" s="3" t="s">
        <v>106</v>
      </c>
    </row>
    <row r="223">
      <c r="A223" s="3" t="s">
        <v>1096</v>
      </c>
      <c r="B223" s="3" t="s">
        <v>121</v>
      </c>
      <c r="C223" s="860" t="s">
        <v>1075</v>
      </c>
      <c r="D223" s="3" t="s">
        <v>106</v>
      </c>
    </row>
    <row r="224">
      <c r="A224" s="3" t="s">
        <v>1096</v>
      </c>
      <c r="B224" s="3" t="s">
        <v>124</v>
      </c>
      <c r="C224" s="860" t="s">
        <v>1075</v>
      </c>
      <c r="D224" s="3" t="s">
        <v>106</v>
      </c>
    </row>
    <row r="225">
      <c r="A225" s="3" t="s">
        <v>1097</v>
      </c>
      <c r="B225" s="3" t="s">
        <v>95</v>
      </c>
      <c r="C225" s="860" t="s">
        <v>1075</v>
      </c>
      <c r="D225" s="3" t="s">
        <v>66</v>
      </c>
    </row>
    <row r="226">
      <c r="A226" s="3" t="s">
        <v>1097</v>
      </c>
      <c r="B226" s="3" t="s">
        <v>186</v>
      </c>
      <c r="C226" s="860" t="s">
        <v>1075</v>
      </c>
      <c r="D226" s="3" t="s">
        <v>187</v>
      </c>
    </row>
    <row r="227">
      <c r="A227" s="3" t="s">
        <v>1097</v>
      </c>
      <c r="B227" s="3" t="s">
        <v>112</v>
      </c>
      <c r="C227" s="860" t="s">
        <v>1075</v>
      </c>
      <c r="D227" s="3" t="s">
        <v>106</v>
      </c>
    </row>
    <row r="228">
      <c r="A228" s="3" t="s">
        <v>1097</v>
      </c>
      <c r="B228" s="3" t="s">
        <v>118</v>
      </c>
      <c r="C228" s="860" t="s">
        <v>1075</v>
      </c>
      <c r="D228" s="3" t="s">
        <v>106</v>
      </c>
    </row>
    <row r="229">
      <c r="A229" s="3" t="s">
        <v>1097</v>
      </c>
      <c r="B229" s="3" t="s">
        <v>121</v>
      </c>
      <c r="C229" s="860" t="s">
        <v>1075</v>
      </c>
      <c r="D229" s="3" t="s">
        <v>106</v>
      </c>
    </row>
    <row r="230">
      <c r="A230" s="3" t="s">
        <v>1097</v>
      </c>
      <c r="B230" s="3" t="s">
        <v>124</v>
      </c>
      <c r="C230" s="860" t="s">
        <v>1075</v>
      </c>
      <c r="D230" s="3" t="s">
        <v>106</v>
      </c>
    </row>
    <row r="231">
      <c r="A231" s="3" t="s">
        <v>1097</v>
      </c>
      <c r="B231" s="3" t="s">
        <v>127</v>
      </c>
      <c r="C231" s="860" t="s">
        <v>1075</v>
      </c>
      <c r="D231" s="3" t="s">
        <v>106</v>
      </c>
    </row>
    <row r="232">
      <c r="A232" s="3" t="s">
        <v>1097</v>
      </c>
      <c r="B232" s="3" t="s">
        <v>132</v>
      </c>
      <c r="C232" s="860" t="s">
        <v>1075</v>
      </c>
      <c r="D232" s="3" t="s">
        <v>106</v>
      </c>
    </row>
    <row r="233">
      <c r="A233" s="3" t="s">
        <v>1097</v>
      </c>
      <c r="B233" s="3" t="s">
        <v>135</v>
      </c>
      <c r="C233" s="860" t="s">
        <v>1075</v>
      </c>
      <c r="D233" s="3" t="s">
        <v>106</v>
      </c>
    </row>
    <row r="234">
      <c r="A234" s="3" t="s">
        <v>1097</v>
      </c>
      <c r="B234" s="3" t="s">
        <v>138</v>
      </c>
      <c r="C234" s="860" t="s">
        <v>1075</v>
      </c>
      <c r="D234" s="3" t="s">
        <v>106</v>
      </c>
    </row>
    <row r="235">
      <c r="A235" s="3" t="s">
        <v>1098</v>
      </c>
      <c r="B235" s="3" t="s">
        <v>95</v>
      </c>
      <c r="C235" s="860" t="s">
        <v>1075</v>
      </c>
      <c r="D235" s="3" t="s">
        <v>66</v>
      </c>
    </row>
    <row r="236">
      <c r="A236" s="3" t="s">
        <v>1098</v>
      </c>
      <c r="B236" s="3" t="s">
        <v>186</v>
      </c>
      <c r="C236" s="860" t="s">
        <v>1075</v>
      </c>
      <c r="D236" s="3" t="s">
        <v>187</v>
      </c>
    </row>
    <row r="237">
      <c r="A237" s="3" t="s">
        <v>1098</v>
      </c>
      <c r="B237" s="3" t="s">
        <v>112</v>
      </c>
      <c r="C237" s="860" t="s">
        <v>1075</v>
      </c>
      <c r="D237" s="3" t="s">
        <v>106</v>
      </c>
    </row>
    <row r="238">
      <c r="A238" s="3" t="s">
        <v>1098</v>
      </c>
      <c r="B238" s="3" t="s">
        <v>118</v>
      </c>
      <c r="C238" s="860" t="s">
        <v>1075</v>
      </c>
      <c r="D238" s="3" t="s">
        <v>106</v>
      </c>
    </row>
    <row r="239">
      <c r="A239" s="3" t="s">
        <v>1098</v>
      </c>
      <c r="B239" s="3" t="s">
        <v>121</v>
      </c>
      <c r="C239" s="860" t="s">
        <v>1075</v>
      </c>
      <c r="D239" s="3" t="s">
        <v>106</v>
      </c>
    </row>
    <row r="240">
      <c r="A240" s="3" t="s">
        <v>1098</v>
      </c>
      <c r="B240" s="3" t="s">
        <v>124</v>
      </c>
      <c r="C240" s="860" t="s">
        <v>1075</v>
      </c>
      <c r="D240" s="3" t="s">
        <v>106</v>
      </c>
    </row>
    <row r="241">
      <c r="A241" s="3" t="s">
        <v>1098</v>
      </c>
      <c r="B241" s="3" t="s">
        <v>127</v>
      </c>
      <c r="C241" s="860" t="s">
        <v>1075</v>
      </c>
      <c r="D241" s="3" t="s">
        <v>106</v>
      </c>
    </row>
    <row r="242">
      <c r="A242" s="3" t="s">
        <v>1098</v>
      </c>
      <c r="B242" s="3" t="s">
        <v>132</v>
      </c>
      <c r="C242" s="860" t="s">
        <v>1075</v>
      </c>
      <c r="D242" s="3" t="s">
        <v>106</v>
      </c>
    </row>
    <row r="243">
      <c r="A243" s="3" t="s">
        <v>1098</v>
      </c>
      <c r="B243" s="3" t="s">
        <v>135</v>
      </c>
      <c r="C243" s="860" t="s">
        <v>1075</v>
      </c>
      <c r="D243" s="3" t="s">
        <v>106</v>
      </c>
    </row>
    <row r="244">
      <c r="A244" s="3" t="s">
        <v>1098</v>
      </c>
      <c r="B244" s="3" t="s">
        <v>138</v>
      </c>
      <c r="C244" s="860" t="s">
        <v>1075</v>
      </c>
      <c r="D244" s="3" t="s">
        <v>106</v>
      </c>
    </row>
    <row r="245">
      <c r="A245" s="3" t="s">
        <v>1098</v>
      </c>
      <c r="B245" s="3" t="s">
        <v>141</v>
      </c>
      <c r="C245" s="860" t="s">
        <v>1075</v>
      </c>
      <c r="D245" s="3" t="s">
        <v>106</v>
      </c>
    </row>
    <row r="246">
      <c r="A246" s="3" t="s">
        <v>1098</v>
      </c>
      <c r="B246" s="3" t="s">
        <v>160</v>
      </c>
      <c r="C246" s="860" t="s">
        <v>1075</v>
      </c>
      <c r="D246" s="3" t="s">
        <v>145</v>
      </c>
    </row>
    <row r="247">
      <c r="A247" s="3" t="s">
        <v>1098</v>
      </c>
      <c r="B247" s="3" t="s">
        <v>170</v>
      </c>
      <c r="C247" s="860" t="s">
        <v>1075</v>
      </c>
      <c r="D247" s="3" t="s">
        <v>164</v>
      </c>
    </row>
    <row r="248">
      <c r="A248" s="3" t="s">
        <v>1098</v>
      </c>
      <c r="B248" s="3" t="s">
        <v>27</v>
      </c>
      <c r="C248" s="860" t="s">
        <v>1075</v>
      </c>
      <c r="D248" s="3" t="s">
        <v>24</v>
      </c>
    </row>
    <row r="249">
      <c r="A249" s="3" t="s">
        <v>1098</v>
      </c>
      <c r="B249" s="3" t="s">
        <v>34</v>
      </c>
      <c r="C249" s="860" t="s">
        <v>1075</v>
      </c>
      <c r="D249" s="3" t="s">
        <v>31</v>
      </c>
    </row>
    <row r="250">
      <c r="A250" s="3" t="s">
        <v>1099</v>
      </c>
      <c r="B250" s="3" t="s">
        <v>95</v>
      </c>
      <c r="C250" s="860" t="s">
        <v>1075</v>
      </c>
      <c r="D250" s="3" t="s">
        <v>66</v>
      </c>
    </row>
    <row r="251">
      <c r="A251" s="3" t="s">
        <v>1099</v>
      </c>
      <c r="B251" s="3" t="s">
        <v>186</v>
      </c>
      <c r="C251" s="860" t="s">
        <v>1075</v>
      </c>
      <c r="D251" s="3" t="s">
        <v>187</v>
      </c>
    </row>
    <row r="252">
      <c r="A252" s="3" t="s">
        <v>1099</v>
      </c>
      <c r="B252" s="3" t="s">
        <v>112</v>
      </c>
      <c r="C252" s="860" t="s">
        <v>1075</v>
      </c>
      <c r="D252" s="3" t="s">
        <v>106</v>
      </c>
    </row>
    <row r="253">
      <c r="A253" s="3" t="s">
        <v>1099</v>
      </c>
      <c r="B253" s="3" t="s">
        <v>118</v>
      </c>
      <c r="C253" s="860" t="s">
        <v>1075</v>
      </c>
      <c r="D253" s="3" t="s">
        <v>106</v>
      </c>
    </row>
    <row r="254">
      <c r="A254" s="3" t="s">
        <v>1099</v>
      </c>
      <c r="B254" s="3" t="s">
        <v>121</v>
      </c>
      <c r="C254" s="860" t="s">
        <v>1075</v>
      </c>
      <c r="D254" s="3" t="s">
        <v>106</v>
      </c>
    </row>
    <row r="255">
      <c r="A255" s="3" t="s">
        <v>1099</v>
      </c>
      <c r="B255" s="3" t="s">
        <v>124</v>
      </c>
      <c r="C255" s="860" t="s">
        <v>1075</v>
      </c>
      <c r="D255" s="3" t="s">
        <v>106</v>
      </c>
    </row>
    <row r="256">
      <c r="A256" s="3" t="s">
        <v>1100</v>
      </c>
      <c r="B256" s="3" t="s">
        <v>95</v>
      </c>
      <c r="C256" s="860" t="s">
        <v>1075</v>
      </c>
      <c r="D256" s="3" t="s">
        <v>66</v>
      </c>
    </row>
    <row r="257">
      <c r="A257" s="3" t="s">
        <v>1100</v>
      </c>
      <c r="B257" s="3" t="s">
        <v>186</v>
      </c>
      <c r="C257" s="860" t="s">
        <v>1075</v>
      </c>
      <c r="D257" s="3" t="s">
        <v>187</v>
      </c>
    </row>
    <row r="258">
      <c r="A258" s="3" t="s">
        <v>1100</v>
      </c>
      <c r="B258" s="3" t="s">
        <v>112</v>
      </c>
      <c r="C258" s="860" t="s">
        <v>1075</v>
      </c>
      <c r="D258" s="3" t="s">
        <v>106</v>
      </c>
    </row>
    <row r="259">
      <c r="A259" s="3" t="s">
        <v>1100</v>
      </c>
      <c r="B259" s="3" t="s">
        <v>118</v>
      </c>
      <c r="C259" s="860" t="s">
        <v>1075</v>
      </c>
      <c r="D259" s="3" t="s">
        <v>106</v>
      </c>
    </row>
    <row r="260">
      <c r="A260" s="3" t="s">
        <v>1100</v>
      </c>
      <c r="B260" s="3" t="s">
        <v>121</v>
      </c>
      <c r="C260" s="860" t="s">
        <v>1075</v>
      </c>
      <c r="D260" s="3" t="s">
        <v>106</v>
      </c>
    </row>
    <row r="261">
      <c r="A261" s="3" t="s">
        <v>1100</v>
      </c>
      <c r="B261" s="3" t="s">
        <v>124</v>
      </c>
      <c r="C261" s="860" t="s">
        <v>1075</v>
      </c>
      <c r="D261" s="3" t="s">
        <v>106</v>
      </c>
    </row>
    <row r="262">
      <c r="A262" s="3" t="s">
        <v>1100</v>
      </c>
      <c r="B262" s="3" t="s">
        <v>127</v>
      </c>
      <c r="C262" s="860" t="s">
        <v>1075</v>
      </c>
      <c r="D262" s="3" t="s">
        <v>106</v>
      </c>
    </row>
    <row r="263">
      <c r="A263" s="3" t="s">
        <v>1100</v>
      </c>
      <c r="B263" s="3" t="s">
        <v>132</v>
      </c>
      <c r="C263" s="860" t="s">
        <v>1075</v>
      </c>
      <c r="D263" s="3" t="s">
        <v>106</v>
      </c>
    </row>
    <row r="264">
      <c r="A264" s="3" t="s">
        <v>1100</v>
      </c>
      <c r="B264" s="3" t="s">
        <v>135</v>
      </c>
      <c r="C264" s="860" t="s">
        <v>1075</v>
      </c>
      <c r="D264" s="3" t="s">
        <v>106</v>
      </c>
    </row>
    <row r="265">
      <c r="A265" s="3" t="s">
        <v>1100</v>
      </c>
      <c r="B265" s="3" t="s">
        <v>138</v>
      </c>
      <c r="C265" s="860" t="s">
        <v>1075</v>
      </c>
      <c r="D265" s="3" t="s">
        <v>106</v>
      </c>
    </row>
    <row r="266">
      <c r="A266" s="3" t="s">
        <v>1101</v>
      </c>
      <c r="B266" s="3" t="s">
        <v>95</v>
      </c>
      <c r="C266" s="860" t="s">
        <v>1075</v>
      </c>
      <c r="D266" s="3" t="s">
        <v>66</v>
      </c>
    </row>
    <row r="267">
      <c r="A267" s="3" t="s">
        <v>1101</v>
      </c>
      <c r="B267" s="3" t="s">
        <v>186</v>
      </c>
      <c r="C267" s="860" t="s">
        <v>1075</v>
      </c>
      <c r="D267" s="3" t="s">
        <v>187</v>
      </c>
    </row>
    <row r="268">
      <c r="A268" s="3" t="s">
        <v>1101</v>
      </c>
      <c r="B268" s="3" t="s">
        <v>112</v>
      </c>
      <c r="C268" s="860" t="s">
        <v>1075</v>
      </c>
      <c r="D268" s="3" t="s">
        <v>106</v>
      </c>
    </row>
    <row r="269">
      <c r="A269" s="3" t="s">
        <v>1101</v>
      </c>
      <c r="B269" s="3" t="s">
        <v>118</v>
      </c>
      <c r="C269" s="860" t="s">
        <v>1075</v>
      </c>
      <c r="D269" s="3" t="s">
        <v>106</v>
      </c>
    </row>
    <row r="270">
      <c r="A270" s="3" t="s">
        <v>1101</v>
      </c>
      <c r="B270" s="3" t="s">
        <v>121</v>
      </c>
      <c r="C270" s="860" t="s">
        <v>1075</v>
      </c>
      <c r="D270" s="3" t="s">
        <v>106</v>
      </c>
    </row>
    <row r="271">
      <c r="A271" s="3" t="s">
        <v>1101</v>
      </c>
      <c r="B271" s="3" t="s">
        <v>124</v>
      </c>
      <c r="C271" s="860" t="s">
        <v>1075</v>
      </c>
      <c r="D271" s="3" t="s">
        <v>106</v>
      </c>
    </row>
    <row r="272">
      <c r="A272" s="3" t="s">
        <v>1101</v>
      </c>
      <c r="B272" s="3" t="s">
        <v>127</v>
      </c>
      <c r="C272" s="860" t="s">
        <v>1075</v>
      </c>
      <c r="D272" s="3" t="s">
        <v>106</v>
      </c>
    </row>
    <row r="273">
      <c r="A273" s="3" t="s">
        <v>1101</v>
      </c>
      <c r="B273" s="3" t="s">
        <v>132</v>
      </c>
      <c r="C273" s="860" t="s">
        <v>1075</v>
      </c>
      <c r="D273" s="3" t="s">
        <v>106</v>
      </c>
    </row>
    <row r="274">
      <c r="A274" s="3" t="s">
        <v>1101</v>
      </c>
      <c r="B274" s="3" t="s">
        <v>135</v>
      </c>
      <c r="C274" s="860" t="s">
        <v>1075</v>
      </c>
      <c r="D274" s="3" t="s">
        <v>106</v>
      </c>
    </row>
    <row r="275">
      <c r="A275" s="3" t="s">
        <v>1101</v>
      </c>
      <c r="B275" s="3" t="s">
        <v>138</v>
      </c>
      <c r="C275" s="860" t="s">
        <v>1075</v>
      </c>
      <c r="D275" s="3" t="s">
        <v>106</v>
      </c>
    </row>
    <row r="276">
      <c r="A276" s="3" t="s">
        <v>1101</v>
      </c>
      <c r="B276" s="3" t="s">
        <v>141</v>
      </c>
      <c r="C276" s="860" t="s">
        <v>1075</v>
      </c>
      <c r="D276" s="3" t="s">
        <v>106</v>
      </c>
    </row>
    <row r="277">
      <c r="A277" s="3" t="s">
        <v>1101</v>
      </c>
      <c r="B277" s="3" t="s">
        <v>160</v>
      </c>
      <c r="C277" s="860" t="s">
        <v>1075</v>
      </c>
      <c r="D277" s="3" t="s">
        <v>145</v>
      </c>
    </row>
    <row r="278">
      <c r="A278" s="3" t="s">
        <v>1101</v>
      </c>
      <c r="B278" s="3" t="s">
        <v>170</v>
      </c>
      <c r="C278" s="860" t="s">
        <v>1075</v>
      </c>
      <c r="D278" s="3" t="s">
        <v>164</v>
      </c>
    </row>
    <row r="279">
      <c r="A279" s="3" t="s">
        <v>1101</v>
      </c>
      <c r="B279" s="3" t="s">
        <v>27</v>
      </c>
      <c r="C279" s="860" t="s">
        <v>1075</v>
      </c>
      <c r="D279" s="3" t="s">
        <v>24</v>
      </c>
    </row>
    <row r="280">
      <c r="A280" s="3" t="s">
        <v>1101</v>
      </c>
      <c r="B280" s="3" t="s">
        <v>34</v>
      </c>
      <c r="C280" s="860" t="s">
        <v>1075</v>
      </c>
      <c r="D280" s="3" t="s">
        <v>31</v>
      </c>
    </row>
  </sheetData>
  <conditionalFormatting sqref="A2:D280">
    <cfRule type="expression" dxfId="11" priority="1">
      <formula>ISNUMBER(SEARCH("(6)", $A2))</formula>
    </cfRule>
  </conditionalFormatting>
  <conditionalFormatting sqref="A2:D280">
    <cfRule type="expression" dxfId="12" priority="2">
      <formula>ISNUMBER(SEARCH("(10)", $A2))</formula>
    </cfRule>
  </conditionalFormatting>
  <conditionalFormatting sqref="A2:D280">
    <cfRule type="expression" dxfId="13" priority="3">
      <formula>ISNUMBER(SEARCH("(15)", $A2))</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3.38"/>
    <col customWidth="1" min="3" max="3" width="1.88"/>
    <col customWidth="1" min="5" max="5" width="82.13"/>
    <col customWidth="1" min="6" max="6" width="53.63"/>
    <col customWidth="1" min="7" max="7" width="4.75"/>
    <col customWidth="1" min="8" max="8" width="1.88"/>
  </cols>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6.25"/>
    <col customWidth="1" min="5" max="5" width="82.13"/>
    <col customWidth="1" min="6" max="6" width="56.38"/>
  </cols>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0"/>
    <col customWidth="1" min="5" max="5" width="45.13"/>
    <col customWidth="1" min="6" max="6" width="50.13"/>
  </cols>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5" max="5" width="82.13"/>
    <col customWidth="1" min="6" max="6" width="76.0"/>
  </cols>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5" max="5" width="82.13"/>
    <col customWidth="1" min="6" max="6" width="53.63"/>
  </cols>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5" max="5" width="61.0"/>
    <col customWidth="1" min="6" max="6" width="56.38"/>
  </cols>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5" max="5" width="44.38"/>
    <col customWidth="1" min="6" max="6" width="56.38"/>
  </cols>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5" max="5" width="67.13"/>
    <col customWidth="1" min="6" max="6" width="60.0"/>
  </cols>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1.0"/>
    <col customWidth="1" min="6" max="6" width="51.13"/>
  </cols>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8.63"/>
    <col customWidth="1" min="5" max="5" width="60.25"/>
    <col customWidth="1" min="6" max="6" width="50.13"/>
  </cols>
  <sheetData/>
  <drawing r:id="rId1"/>
</worksheet>
</file>